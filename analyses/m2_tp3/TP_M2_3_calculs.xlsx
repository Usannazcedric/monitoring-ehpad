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s" sheetId="1" state="visible" r:id="rId1"/>
    <sheet name="FC" sheetId="2" state="visible" r:id="rId2"/>
    <sheet name="Energie_RR" sheetId="3" state="visible" r:id="rId3"/>
    <sheet name="Endian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name val="Aptos Narrow"/>
      <b val="1"/>
      <sz val="12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="160" workbookViewId="0">
      <selection activeCell="D3" sqref="D3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9" customWidth="1" min="10" max="10"/>
    <col width="17" customWidth="1" min="11" max="11"/>
    <col width="9" customWidth="1" min="12" max="12"/>
    <col width="7" customWidth="1" min="13" max="13"/>
  </cols>
  <sheetData>
    <row r="1">
      <c r="A1" s="1" t="inlineStr">
        <is>
          <t>Lecture de l'octet de flags (1er octet)</t>
        </is>
      </c>
    </row>
    <row r="2" ht="32" customHeight="1">
      <c r="A2" s="2" t="inlineStr">
        <is>
          <t>n°</t>
        </is>
      </c>
      <c r="B2" s="2" t="inlineStr">
        <is>
          <t>Trame</t>
        </is>
      </c>
      <c r="C2" s="2" t="inlineStr">
        <is>
          <t>Flags (hexa)</t>
        </is>
      </c>
      <c r="D2" s="2" t="inlineStr">
        <is>
          <t>Flags (binaire)</t>
        </is>
      </c>
      <c r="E2" s="2" t="inlineStr">
        <is>
          <t>bit 0</t>
        </is>
      </c>
      <c r="F2" s="2" t="inlineStr">
        <is>
          <t>bit 1</t>
        </is>
      </c>
      <c r="G2" s="2" t="inlineStr">
        <is>
          <t>bit 2</t>
        </is>
      </c>
      <c r="H2" s="2" t="inlineStr">
        <is>
          <t>bit 3</t>
        </is>
      </c>
      <c r="I2" s="2" t="inlineStr">
        <is>
          <t>bit 4</t>
        </is>
      </c>
      <c r="J2" s="2" t="inlineStr">
        <is>
          <t>Format FC</t>
        </is>
      </c>
      <c r="K2" s="2" t="inlineStr">
        <is>
          <t>Contact</t>
        </is>
      </c>
      <c r="L2" s="2" t="inlineStr">
        <is>
          <t>Énergie ?</t>
        </is>
      </c>
      <c r="M2" s="2" t="inlineStr">
        <is>
          <t>RR ?</t>
        </is>
      </c>
    </row>
    <row r="3">
      <c r="A3" s="3" t="n">
        <v>1</v>
      </c>
      <c r="B3" s="3" t="inlineStr">
        <is>
          <t>00 48</t>
        </is>
      </c>
      <c r="C3" s="3" t="inlineStr">
        <is>
          <t>00</t>
        </is>
      </c>
      <c r="D3" s="3">
        <f>HEX2BIN(C3,8)</f>
        <v/>
      </c>
      <c r="E3" s="3">
        <f>VALUE(MID(D3,8,1))</f>
        <v/>
      </c>
      <c r="F3" s="3">
        <f>VALUE(MID(D3,7,1))</f>
        <v/>
      </c>
      <c r="G3" s="3">
        <f>VALUE(MID(D3,6,1))</f>
        <v/>
      </c>
      <c r="H3" s="3">
        <f>VALUE(MID(D3,5,1))</f>
        <v/>
      </c>
      <c r="I3" s="3">
        <f>VALUE(MID(D3,4,1))</f>
        <v/>
      </c>
      <c r="J3" s="3">
        <f>IF(E3=1,"uint16","uint8")</f>
        <v/>
      </c>
      <c r="K3" s="3">
        <f>IF(G3=0,"non pris en charge",IF(F3=1,"détecté","pas de contact"))</f>
        <v/>
      </c>
      <c r="L3" s="3">
        <f>IF(H3=1,"oui","non")</f>
        <v/>
      </c>
      <c r="M3" s="3">
        <f>IF(I3=1,"oui","non")</f>
        <v/>
      </c>
    </row>
    <row r="4">
      <c r="A4" s="3" t="n">
        <v>2</v>
      </c>
      <c r="B4" s="3" t="inlineStr">
        <is>
          <t>01 5A 00</t>
        </is>
      </c>
      <c r="C4" s="3" t="inlineStr">
        <is>
          <t>01</t>
        </is>
      </c>
      <c r="D4" s="3">
        <f>HEX2BIN(C4,8)</f>
        <v/>
      </c>
      <c r="E4" s="3">
        <f>VALUE(MID(D4,8,1))</f>
        <v/>
      </c>
      <c r="F4" s="3">
        <f>VALUE(MID(D4,7,1))</f>
        <v/>
      </c>
      <c r="G4" s="3">
        <f>VALUE(MID(D4,6,1))</f>
        <v/>
      </c>
      <c r="H4" s="3">
        <f>VALUE(MID(D4,5,1))</f>
        <v/>
      </c>
      <c r="I4" s="3">
        <f>VALUE(MID(D4,4,1))</f>
        <v/>
      </c>
      <c r="J4" s="3">
        <f>IF(E4=1,"uint16","uint8")</f>
        <v/>
      </c>
      <c r="K4" s="3">
        <f>IF(G4=0,"non pris en charge",IF(F4=1,"détecté","pas de contact"))</f>
        <v/>
      </c>
      <c r="L4" s="3">
        <f>IF(H4=1,"oui","non")</f>
        <v/>
      </c>
      <c r="M4" s="3">
        <f>IF(I4=1,"oui","non")</f>
        <v/>
      </c>
    </row>
    <row r="5">
      <c r="A5" s="3" t="n">
        <v>3</v>
      </c>
      <c r="B5" s="3" t="inlineStr">
        <is>
          <t>06 3E</t>
        </is>
      </c>
      <c r="C5" s="3" t="inlineStr">
        <is>
          <t>06</t>
        </is>
      </c>
      <c r="D5" s="3">
        <f>HEX2BIN(C5,8)</f>
        <v/>
      </c>
      <c r="E5" s="3">
        <f>VALUE(MID(D5,8,1))</f>
        <v/>
      </c>
      <c r="F5" s="3">
        <f>VALUE(MID(D5,7,1))</f>
        <v/>
      </c>
      <c r="G5" s="3">
        <f>VALUE(MID(D5,6,1))</f>
        <v/>
      </c>
      <c r="H5" s="3">
        <f>VALUE(MID(D5,5,1))</f>
        <v/>
      </c>
      <c r="I5" s="3">
        <f>VALUE(MID(D5,4,1))</f>
        <v/>
      </c>
      <c r="J5" s="3">
        <f>IF(E5=1,"uint16","uint8")</f>
        <v/>
      </c>
      <c r="K5" s="3">
        <f>IF(G5=0,"non pris en charge",IF(F5=1,"détecté","pas de contact"))</f>
        <v/>
      </c>
      <c r="L5" s="3">
        <f>IF(H5=1,"oui","non")</f>
        <v/>
      </c>
      <c r="M5" s="3">
        <f>IF(I5=1,"oui","non")</f>
        <v/>
      </c>
    </row>
    <row r="6">
      <c r="A6" s="3" t="n">
        <v>4</v>
      </c>
      <c r="B6" s="3" t="inlineStr">
        <is>
          <t>0E 55 E8 03</t>
        </is>
      </c>
      <c r="C6" s="3" t="inlineStr">
        <is>
          <t>0E</t>
        </is>
      </c>
      <c r="D6" s="3">
        <f>HEX2BIN(C6,8)</f>
        <v/>
      </c>
      <c r="E6" s="3">
        <f>VALUE(MID(D6,8,1))</f>
        <v/>
      </c>
      <c r="F6" s="3">
        <f>VALUE(MID(D6,7,1))</f>
        <v/>
      </c>
      <c r="G6" s="3">
        <f>VALUE(MID(D6,6,1))</f>
        <v/>
      </c>
      <c r="H6" s="3">
        <f>VALUE(MID(D6,5,1))</f>
        <v/>
      </c>
      <c r="I6" s="3">
        <f>VALUE(MID(D6,4,1))</f>
        <v/>
      </c>
      <c r="J6" s="3">
        <f>IF(E6=1,"uint16","uint8")</f>
        <v/>
      </c>
      <c r="K6" s="3">
        <f>IF(G6=0,"non pris en charge",IF(F6=1,"détecté","pas de contact"))</f>
        <v/>
      </c>
      <c r="L6" s="3">
        <f>IF(H6=1,"oui","non")</f>
        <v/>
      </c>
      <c r="M6" s="3">
        <f>IF(I6=1,"oui","non")</f>
        <v/>
      </c>
    </row>
    <row r="7">
      <c r="A7" s="3" t="n">
        <v>5</v>
      </c>
      <c r="B7" s="3" t="inlineStr">
        <is>
          <t>16 4B 20 03</t>
        </is>
      </c>
      <c r="C7" s="3" t="inlineStr">
        <is>
          <t>16</t>
        </is>
      </c>
      <c r="D7" s="3">
        <f>HEX2BIN(C7,8)</f>
        <v/>
      </c>
      <c r="E7" s="3">
        <f>VALUE(MID(D7,8,1))</f>
        <v/>
      </c>
      <c r="F7" s="3">
        <f>VALUE(MID(D7,7,1))</f>
        <v/>
      </c>
      <c r="G7" s="3">
        <f>VALUE(MID(D7,6,1))</f>
        <v/>
      </c>
      <c r="H7" s="3">
        <f>VALUE(MID(D7,5,1))</f>
        <v/>
      </c>
      <c r="I7" s="3">
        <f>VALUE(MID(D7,4,1))</f>
        <v/>
      </c>
      <c r="J7" s="3">
        <f>IF(E7=1,"uint16","uint8")</f>
        <v/>
      </c>
      <c r="K7" s="3">
        <f>IF(G7=0,"non pris en charge",IF(F7=1,"détecté","pas de contact"))</f>
        <v/>
      </c>
      <c r="L7" s="3">
        <f>IF(H7=1,"oui","non")</f>
        <v/>
      </c>
      <c r="M7" s="3">
        <f>IF(I7=1,"oui","non")</f>
        <v/>
      </c>
    </row>
    <row r="8">
      <c r="A8" s="3" t="n">
        <v>6</v>
      </c>
      <c r="B8" s="3" t="inlineStr">
        <is>
          <t>1E 4E C8 00 F0 02 10 03</t>
        </is>
      </c>
      <c r="C8" s="3" t="inlineStr">
        <is>
          <t>1E</t>
        </is>
      </c>
      <c r="D8" s="3">
        <f>HEX2BIN(C8,8)</f>
        <v/>
      </c>
      <c r="E8" s="3">
        <f>VALUE(MID(D8,8,1))</f>
        <v/>
      </c>
      <c r="F8" s="3">
        <f>VALUE(MID(D8,7,1))</f>
        <v/>
      </c>
      <c r="G8" s="3">
        <f>VALUE(MID(D8,6,1))</f>
        <v/>
      </c>
      <c r="H8" s="3">
        <f>VALUE(MID(D8,5,1))</f>
        <v/>
      </c>
      <c r="I8" s="3">
        <f>VALUE(MID(D8,4,1))</f>
        <v/>
      </c>
      <c r="J8" s="3">
        <f>IF(E8=1,"uint16","uint8")</f>
        <v/>
      </c>
      <c r="K8" s="3">
        <f>IF(G8=0,"non pris en charge",IF(F8=1,"détecté","pas de contact"))</f>
        <v/>
      </c>
      <c r="L8" s="3">
        <f>IF(H8=1,"oui","non")</f>
        <v/>
      </c>
      <c r="M8" s="3">
        <f>IF(I8=1,"oui","non")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zoomScale="160" workbookViewId="0">
      <selection activeCell="H4" sqref="H4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10" customWidth="1" min="4" max="4"/>
    <col width="10" customWidth="1" min="5" max="5"/>
    <col width="9" customWidth="1" min="6" max="6"/>
    <col width="9" customWidth="1" min="7" max="7"/>
    <col width="16" customWidth="1" min="8" max="8"/>
  </cols>
  <sheetData>
    <row r="1">
      <c r="A1" s="1" t="inlineStr">
        <is>
          <t>Calcul de la fréquence cardiaque (little-endian si 2 octets)</t>
        </is>
      </c>
    </row>
    <row r="2" ht="32" customHeight="1">
      <c r="A2" s="2" t="inlineStr">
        <is>
          <t>n°</t>
        </is>
      </c>
      <c r="B2" s="2" t="inlineStr">
        <is>
          <t>Octet(s) FC</t>
        </is>
      </c>
      <c r="C2" s="2" t="inlineStr">
        <is>
          <t>Format</t>
        </is>
      </c>
      <c r="D2" s="2" t="inlineStr">
        <is>
          <t>Octet 1 (unités)</t>
        </is>
      </c>
      <c r="E2" s="2" t="inlineStr">
        <is>
          <t>Octet 2 (x256)</t>
        </is>
      </c>
      <c r="F2" s="2" t="inlineStr">
        <is>
          <t>Octet 1 (déc)</t>
        </is>
      </c>
      <c r="G2" s="2" t="inlineStr">
        <is>
          <t>Octet 2 (déc)</t>
        </is>
      </c>
      <c r="H2" s="2" t="inlineStr">
        <is>
          <t>FC (bpm) = oct2 x 256 + oct1</t>
        </is>
      </c>
    </row>
    <row r="3">
      <c r="A3" s="3" t="n">
        <v>1</v>
      </c>
      <c r="B3" s="3" t="inlineStr">
        <is>
          <t>48</t>
        </is>
      </c>
      <c r="C3" s="3" t="inlineStr">
        <is>
          <t>uint8</t>
        </is>
      </c>
      <c r="D3" s="3" t="inlineStr">
        <is>
          <t>48</t>
        </is>
      </c>
      <c r="E3" s="3" t="inlineStr">
        <is>
          <t>-</t>
        </is>
      </c>
      <c r="F3" s="3">
        <f>HEX2DEC(D3)</f>
        <v/>
      </c>
      <c r="G3" s="3">
        <f>IF(E3="-",0,HEX2DEC(E3))</f>
        <v/>
      </c>
      <c r="H3" s="3">
        <f>G3*256+F3</f>
        <v/>
      </c>
    </row>
    <row r="4">
      <c r="A4" s="3" t="n">
        <v>2</v>
      </c>
      <c r="B4" s="3" t="inlineStr">
        <is>
          <t>5A 00</t>
        </is>
      </c>
      <c r="C4" s="3" t="inlineStr">
        <is>
          <t>uint16</t>
        </is>
      </c>
      <c r="D4" s="3" t="inlineStr">
        <is>
          <t>5A</t>
        </is>
      </c>
      <c r="E4" s="3" t="inlineStr">
        <is>
          <t>00</t>
        </is>
      </c>
      <c r="F4" s="3">
        <f>HEX2DEC(D4)</f>
        <v/>
      </c>
      <c r="G4" s="3">
        <f>IF(E4="-",0,HEX2DEC(E4))</f>
        <v/>
      </c>
      <c r="H4" s="3">
        <f>G4*256+F4</f>
        <v/>
      </c>
    </row>
    <row r="5">
      <c r="A5" s="3" t="n">
        <v>3</v>
      </c>
      <c r="B5" s="3" t="inlineStr">
        <is>
          <t>3E</t>
        </is>
      </c>
      <c r="C5" s="3" t="inlineStr">
        <is>
          <t>uint8</t>
        </is>
      </c>
      <c r="D5" s="3" t="inlineStr">
        <is>
          <t>3E</t>
        </is>
      </c>
      <c r="E5" s="3" t="inlineStr">
        <is>
          <t>-</t>
        </is>
      </c>
      <c r="F5" s="3">
        <f>HEX2DEC(D5)</f>
        <v/>
      </c>
      <c r="G5" s="3">
        <f>IF(E5="-",0,HEX2DEC(E5))</f>
        <v/>
      </c>
      <c r="H5" s="3">
        <f>G5*256+F5</f>
        <v/>
      </c>
    </row>
    <row r="6">
      <c r="A6" s="3" t="n">
        <v>4</v>
      </c>
      <c r="B6" s="3" t="inlineStr">
        <is>
          <t>55</t>
        </is>
      </c>
      <c r="C6" s="3" t="inlineStr">
        <is>
          <t>uint8</t>
        </is>
      </c>
      <c r="D6" s="3" t="inlineStr">
        <is>
          <t>55</t>
        </is>
      </c>
      <c r="E6" s="3" t="inlineStr">
        <is>
          <t>-</t>
        </is>
      </c>
      <c r="F6" s="3">
        <f>HEX2DEC(D6)</f>
        <v/>
      </c>
      <c r="G6" s="3">
        <f>IF(E6="-",0,HEX2DEC(E6))</f>
        <v/>
      </c>
      <c r="H6" s="3">
        <f>G6*256+F6</f>
        <v/>
      </c>
    </row>
    <row r="7">
      <c r="A7" s="3" t="n">
        <v>5</v>
      </c>
      <c r="B7" s="3" t="inlineStr">
        <is>
          <t>4B</t>
        </is>
      </c>
      <c r="C7" s="3" t="inlineStr">
        <is>
          <t>uint8</t>
        </is>
      </c>
      <c r="D7" s="3" t="inlineStr">
        <is>
          <t>4B</t>
        </is>
      </c>
      <c r="E7" s="3" t="inlineStr">
        <is>
          <t>-</t>
        </is>
      </c>
      <c r="F7" s="3">
        <f>HEX2DEC(D7)</f>
        <v/>
      </c>
      <c r="G7" s="3">
        <f>IF(E7="-",0,HEX2DEC(E7))</f>
        <v/>
      </c>
      <c r="H7" s="3">
        <f>G7*256+F7</f>
        <v/>
      </c>
    </row>
    <row r="8">
      <c r="A8" s="3" t="n">
        <v>6</v>
      </c>
      <c r="B8" s="3" t="inlineStr">
        <is>
          <t>4E</t>
        </is>
      </c>
      <c r="C8" s="3" t="inlineStr">
        <is>
          <t>uint8</t>
        </is>
      </c>
      <c r="D8" s="3" t="inlineStr">
        <is>
          <t>4E</t>
        </is>
      </c>
      <c r="E8" s="3" t="inlineStr">
        <is>
          <t>-</t>
        </is>
      </c>
      <c r="F8" s="3">
        <f>HEX2DEC(D8)</f>
        <v/>
      </c>
      <c r="G8" s="3">
        <f>IF(E8="-",0,HEX2DEC(E8))</f>
        <v/>
      </c>
      <c r="H8" s="3">
        <f>G8*256+F8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zoomScale="160" workbookViewId="0">
      <selection activeCell="I8" sqref="I8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8" customWidth="1" min="4" max="4"/>
    <col width="8" customWidth="1" min="5" max="5"/>
    <col width="9" customWidth="1" min="6" max="6"/>
    <col width="9" customWidth="1" min="7" max="7"/>
    <col width="16" customWidth="1" min="8" max="8"/>
    <col width="11" customWidth="1" min="9" max="9"/>
    <col width="9" customWidth="1" min="10" max="10"/>
    <col width="13" customWidth="1" min="11" max="11"/>
  </cols>
  <sheetData>
    <row r="1">
      <c r="A1" s="1" t="inlineStr">
        <is>
          <t>Énergie dépensée (2 octets, little-endian)</t>
        </is>
      </c>
    </row>
    <row r="2" ht="32" customHeight="1">
      <c r="A2" s="2" t="inlineStr">
        <is>
          <t>n°</t>
        </is>
      </c>
      <c r="B2" s="2" t="inlineStr">
        <is>
          <t>Octets reçus</t>
        </is>
      </c>
      <c r="C2" s="2" t="inlineStr">
        <is>
          <t>Octets retournés</t>
        </is>
      </c>
      <c r="D2" s="2" t="inlineStr">
        <is>
          <t>Octet 1</t>
        </is>
      </c>
      <c r="E2" s="2" t="inlineStr">
        <is>
          <t>Octet 2</t>
        </is>
      </c>
      <c r="F2" s="2" t="inlineStr">
        <is>
          <t>Octet 1 (déc)</t>
        </is>
      </c>
      <c r="G2" s="2" t="inlineStr">
        <is>
          <t>Octet 2 (déc)</t>
        </is>
      </c>
      <c r="H2" s="2" t="inlineStr">
        <is>
          <t>Énergie (kJ) = oct2 x 256 + oct1</t>
        </is>
      </c>
    </row>
    <row r="3">
      <c r="A3" s="3" t="n">
        <v>4</v>
      </c>
      <c r="B3" s="3" t="inlineStr">
        <is>
          <t>E8 03</t>
        </is>
      </c>
      <c r="C3" s="3" t="inlineStr">
        <is>
          <t>03 E8</t>
        </is>
      </c>
      <c r="D3" s="3" t="inlineStr">
        <is>
          <t>E8</t>
        </is>
      </c>
      <c r="E3" s="3" t="inlineStr">
        <is>
          <t>03</t>
        </is>
      </c>
      <c r="F3" s="3">
        <f>HEX2DEC(D3)</f>
        <v/>
      </c>
      <c r="G3" s="3">
        <f>HEX2DEC(E3)</f>
        <v/>
      </c>
      <c r="H3" s="3">
        <f>G3*256+F3</f>
        <v/>
      </c>
    </row>
    <row r="4">
      <c r="A4" s="3" t="n">
        <v>6</v>
      </c>
      <c r="B4" s="3" t="inlineStr">
        <is>
          <t>C8 00</t>
        </is>
      </c>
      <c r="C4" s="3" t="inlineStr">
        <is>
          <t>00 C8</t>
        </is>
      </c>
      <c r="D4" s="3" t="inlineStr">
        <is>
          <t>C8</t>
        </is>
      </c>
      <c r="E4" s="3" t="inlineStr">
        <is>
          <t>00</t>
        </is>
      </c>
      <c r="F4" s="3">
        <f>HEX2DEC(D4)</f>
        <v/>
      </c>
      <c r="G4" s="3">
        <f>HEX2DEC(E4)</f>
        <v/>
      </c>
      <c r="H4" s="3">
        <f>G4*256+F4</f>
        <v/>
      </c>
    </row>
    <row r="6">
      <c r="A6" s="1" t="inlineStr">
        <is>
          <t>Intervalles RR (2 octets chacun, unité 1/1024 s)</t>
        </is>
      </c>
    </row>
    <row r="7" ht="32" customHeight="1">
      <c r="A7" s="2" t="inlineStr">
        <is>
          <t>n°</t>
        </is>
      </c>
      <c r="B7" s="2" t="inlineStr">
        <is>
          <t>Octets reçus</t>
        </is>
      </c>
      <c r="C7" s="2" t="inlineStr">
        <is>
          <t>Octets retournés</t>
        </is>
      </c>
      <c r="D7" s="2" t="inlineStr">
        <is>
          <t>Octet 1</t>
        </is>
      </c>
      <c r="E7" s="2" t="inlineStr">
        <is>
          <t>Octet 2</t>
        </is>
      </c>
      <c r="F7" s="2" t="inlineStr">
        <is>
          <t>Octet 1 (déc)</t>
        </is>
      </c>
      <c r="G7" s="2" t="inlineStr">
        <is>
          <t>Octet 2 (déc)</t>
        </is>
      </c>
      <c r="H7" s="2" t="inlineStr">
        <is>
          <t>RR brut = oct2 x 256 + oct1</t>
        </is>
      </c>
      <c r="I7" s="2" t="inlineStr">
        <is>
          <t>RR (s) = brut / 1024</t>
        </is>
      </c>
      <c r="J7" s="2" t="inlineStr">
        <is>
          <t>RR (ms)</t>
        </is>
      </c>
      <c r="K7" s="2" t="inlineStr">
        <is>
          <t>FC instantanée = 60 / RR</t>
        </is>
      </c>
    </row>
    <row r="8">
      <c r="A8" s="3" t="inlineStr">
        <is>
          <t>5</t>
        </is>
      </c>
      <c r="B8" s="3" t="inlineStr">
        <is>
          <t>20 03</t>
        </is>
      </c>
      <c r="C8" s="3" t="inlineStr">
        <is>
          <t>03 20</t>
        </is>
      </c>
      <c r="D8" s="3" t="inlineStr">
        <is>
          <t>20</t>
        </is>
      </c>
      <c r="E8" s="3" t="inlineStr">
        <is>
          <t>03</t>
        </is>
      </c>
      <c r="F8" s="3">
        <f>HEX2DEC(D8)</f>
        <v/>
      </c>
      <c r="G8" s="3">
        <f>HEX2DEC(E8)</f>
        <v/>
      </c>
      <c r="H8" s="3">
        <f>G8*256+F8</f>
        <v/>
      </c>
      <c r="I8" s="4">
        <f>H8/1024</f>
        <v/>
      </c>
      <c r="J8" s="5">
        <f>I8*1000</f>
        <v/>
      </c>
      <c r="K8" s="5">
        <f>60/I8</f>
        <v/>
      </c>
    </row>
    <row r="9">
      <c r="A9" s="3" t="inlineStr">
        <is>
          <t>6 (RR 1)</t>
        </is>
      </c>
      <c r="B9" s="3" t="inlineStr">
        <is>
          <t>F0 02</t>
        </is>
      </c>
      <c r="C9" s="3" t="inlineStr">
        <is>
          <t>02 F0</t>
        </is>
      </c>
      <c r="D9" s="3" t="inlineStr">
        <is>
          <t>F0</t>
        </is>
      </c>
      <c r="E9" s="3" t="inlineStr">
        <is>
          <t>02</t>
        </is>
      </c>
      <c r="F9" s="3">
        <f>HEX2DEC(D9)</f>
        <v/>
      </c>
      <c r="G9" s="3">
        <f>HEX2DEC(E9)</f>
        <v/>
      </c>
      <c r="H9" s="3">
        <f>G9*256+F9</f>
        <v/>
      </c>
      <c r="I9" s="4">
        <f>H9/1024</f>
        <v/>
      </c>
      <c r="J9" s="5">
        <f>I9*1000</f>
        <v/>
      </c>
      <c r="K9" s="5">
        <f>60/I9</f>
        <v/>
      </c>
    </row>
    <row r="10">
      <c r="A10" s="3" t="inlineStr">
        <is>
          <t>6 (RR 2)</t>
        </is>
      </c>
      <c r="B10" s="3" t="inlineStr">
        <is>
          <t>10 03</t>
        </is>
      </c>
      <c r="C10" s="3" t="inlineStr">
        <is>
          <t>03 10</t>
        </is>
      </c>
      <c r="D10" s="3" t="inlineStr">
        <is>
          <t>10</t>
        </is>
      </c>
      <c r="E10" s="3" t="inlineStr">
        <is>
          <t>03</t>
        </is>
      </c>
      <c r="F10" s="3">
        <f>HEX2DEC(D10)</f>
        <v/>
      </c>
      <c r="G10" s="3">
        <f>HEX2DEC(E10)</f>
        <v/>
      </c>
      <c r="H10" s="3">
        <f>G10*256+F10</f>
        <v/>
      </c>
      <c r="I10" s="4">
        <f>H10/1024</f>
        <v/>
      </c>
      <c r="J10" s="5">
        <f>I10*1000</f>
        <v/>
      </c>
      <c r="K10" s="5">
        <f>60/I10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160" workbookViewId="0">
      <selection activeCell="E6" sqref="E6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9" customWidth="1" min="4" max="4"/>
    <col width="10" customWidth="1" min="5" max="5"/>
    <col width="8" customWidth="1" min="6" max="6"/>
    <col width="9" customWidth="1" min="7" max="7"/>
  </cols>
  <sheetData>
    <row r="1">
      <c r="A1" s="1" t="inlineStr">
        <is>
          <t>Piège du little-endian : bonne lecture vs mauvaise lecture</t>
        </is>
      </c>
    </row>
    <row r="2" ht="32" customHeight="1">
      <c r="A2" s="2" t="inlineStr">
        <is>
          <t>Champ</t>
        </is>
      </c>
      <c r="B2" s="2" t="inlineStr">
        <is>
          <t>Octets reçus</t>
        </is>
      </c>
      <c r="C2" s="2" t="inlineStr">
        <is>
          <t>Lecture</t>
        </is>
      </c>
      <c r="D2" s="2" t="inlineStr">
        <is>
          <t>Octets lus</t>
        </is>
      </c>
      <c r="E2" s="2" t="inlineStr">
        <is>
          <t>Valeur (déc)</t>
        </is>
      </c>
      <c r="F2" s="2" t="inlineStr">
        <is>
          <t>RR (s)</t>
        </is>
      </c>
      <c r="G2" s="2" t="inlineStr">
        <is>
          <t>FC (bpm)</t>
        </is>
      </c>
    </row>
    <row r="3">
      <c r="A3" s="3" t="inlineStr">
        <is>
          <t>Trame 2 - FC</t>
        </is>
      </c>
      <c r="B3" s="3" t="inlineStr">
        <is>
          <t>5A 00</t>
        </is>
      </c>
      <c r="C3" s="3" t="inlineStr">
        <is>
          <t>little-endian (on retourne)</t>
        </is>
      </c>
      <c r="D3" s="3" t="inlineStr">
        <is>
          <t>00 5A</t>
        </is>
      </c>
      <c r="E3" s="3">
        <f>HEX2DEC(SUBSTITUTE(D3," ",""))</f>
        <v/>
      </c>
      <c r="F3" s="4" t="inlineStr">
        <is>
          <t>-</t>
        </is>
      </c>
      <c r="G3" s="6">
        <f>E3</f>
        <v/>
      </c>
    </row>
    <row r="4">
      <c r="A4" s="3" t="inlineStr">
        <is>
          <t>Trame 2 - FC</t>
        </is>
      </c>
      <c r="B4" s="3" t="inlineStr">
        <is>
          <t>5A 00</t>
        </is>
      </c>
      <c r="C4" s="3" t="inlineStr">
        <is>
          <t>big-endian (erreur)</t>
        </is>
      </c>
      <c r="D4" s="3" t="inlineStr">
        <is>
          <t>5A 00</t>
        </is>
      </c>
      <c r="E4" s="3">
        <f>HEX2DEC(SUBSTITUTE(D4," ",""))</f>
        <v/>
      </c>
      <c r="F4" s="4" t="inlineStr">
        <is>
          <t>-</t>
        </is>
      </c>
      <c r="G4" s="6">
        <f>E4</f>
        <v/>
      </c>
    </row>
    <row r="5">
      <c r="A5" s="3" t="inlineStr">
        <is>
          <t>Trame 5 - RR</t>
        </is>
      </c>
      <c r="B5" s="3" t="inlineStr">
        <is>
          <t>20 03</t>
        </is>
      </c>
      <c r="C5" s="3" t="inlineStr">
        <is>
          <t>little-endian (on retourne)</t>
        </is>
      </c>
      <c r="D5" s="3" t="inlineStr">
        <is>
          <t>03 20</t>
        </is>
      </c>
      <c r="E5" s="3">
        <f>HEX2DEC(SUBSTITUTE(D5," ",""))</f>
        <v/>
      </c>
      <c r="F5" s="4">
        <f>E5/1024</f>
        <v/>
      </c>
      <c r="G5" s="5">
        <f>60/F5</f>
        <v/>
      </c>
    </row>
    <row r="6">
      <c r="A6" s="3" t="inlineStr">
        <is>
          <t>Trame 5 - RR</t>
        </is>
      </c>
      <c r="B6" s="3" t="inlineStr">
        <is>
          <t>20 03</t>
        </is>
      </c>
      <c r="C6" s="3" t="inlineStr">
        <is>
          <t>big-endian (erreur)</t>
        </is>
      </c>
      <c r="D6" s="3" t="inlineStr">
        <is>
          <t>20 03</t>
        </is>
      </c>
      <c r="E6" s="3">
        <f>HEX2DEC(SUBSTITUTE(D6," ",""))</f>
        <v/>
      </c>
      <c r="F6" s="4">
        <f>E6/1024</f>
        <v/>
      </c>
      <c r="G6" s="5">
        <f>60/F6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2026-10-09T14:23:24Z</dcterms:created>
  <dcterms:modified xsi:type="dcterms:W3CDTF">2026-10-09T14:23:24Z</dcterms:modified>
</cp:coreProperties>
</file>