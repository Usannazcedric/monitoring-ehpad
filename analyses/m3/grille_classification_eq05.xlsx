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1" activeTab="1" autoFilterDateGrouping="1"/>
  </bookViews>
  <sheets>
    <sheet name="Lisez-moi" sheetId="1" state="visible" r:id="rId1"/>
    <sheet name="Grille" sheetId="2" state="visible" r:id="rId2"/>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name val="Calibri"/>
      <color rgb="FF595959"/>
      <sz val="11"/>
    </font>
    <font>
      <name val="Calibri"/>
      <b val="1"/>
      <sz val="11"/>
    </font>
    <font>
      <name val="Calibri"/>
      <color rgb="FF0000FF"/>
      <sz val="11"/>
    </font>
    <font>
      <name val="Calibri"/>
      <b val="1"/>
      <color rgb="FFFFFFFF"/>
      <sz val="11"/>
    </font>
  </fonts>
  <fills count="5">
    <fill>
      <patternFill/>
    </fill>
    <fill>
      <patternFill patternType="gray125"/>
    </fill>
    <fill>
      <patternFill patternType="solid">
        <fgColor rgb="FFDDEBF7"/>
      </patternFill>
    </fill>
    <fill>
      <patternFill patternType="solid">
        <fgColor rgb="FF1F4E78"/>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1" fillId="0" borderId="0" pivotButton="0" quotePrefix="0" xfId="0"/>
    <xf numFmtId="0" fontId="2" fillId="0" borderId="0" pivotButton="0" quotePrefix="0" xfId="0"/>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cellStyles>
  <dxfs count="2">
    <dxf>
      <fill>
        <patternFill patternType="solid">
          <fgColor rgb="FFFDE8DE"/>
        </patternFill>
      </fill>
    </dxf>
    <dxf>
      <fill>
        <patternFill patternType="solid">
          <fgColor rgb="FFDC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Grille de classification — TP M3-1 « Bien-être ou dispositif médical ? »</t>
        </is>
      </c>
    </row>
    <row r="2">
      <c r="A2" s="2" t="inlineStr">
        <is>
          <t>Module 3 — vendredi 16 octobre 2026 — MBA Santé, IA &amp; IoT — Epitech — Nicolas LAURIO</t>
        </is>
      </c>
    </row>
    <row r="3">
      <c r="A3" s="3" t="inlineStr">
        <is>
          <t>Exercice d'entraînement : les classes données sont des classes « probables », à vérifier sur la notice et le certificat du fabricant.</t>
        </is>
      </c>
    </row>
    <row r="4">
      <c r="A4" s="4" t="n"/>
    </row>
    <row r="5">
      <c r="A5" s="3" t="inlineStr">
        <is>
          <t>Légende des cellules</t>
        </is>
      </c>
    </row>
    <row r="6">
      <c r="A6" s="5" t="inlineStr">
        <is>
          <t>Police bleue sur fond bleu pâle = à remplir par l'équipe (listes déroulantes en E, G, H et I).</t>
        </is>
      </c>
    </row>
    <row r="7">
      <c r="A7" s="4" t="inlineStr">
        <is>
          <t>Fond gris = donné (produit, exemple réel, où chercher).</t>
        </is>
      </c>
    </row>
    <row r="8">
      <c r="A8" s="4" t="inlineStr">
        <is>
          <t>Colonne K = vérification automatique : elle repère les réponses incohérentes. Ne pas l'écraser.</t>
        </is>
      </c>
    </row>
    <row r="9">
      <c r="A9" s="4" t="n"/>
    </row>
    <row r="10">
      <c r="A10" s="3" t="inlineStr">
        <is>
          <t>La procédure en 4 questions (voir l'énoncé et le schéma « arbre de qualification »)</t>
        </is>
      </c>
    </row>
    <row r="11">
      <c r="A11" s="4" t="inlineStr">
        <is>
          <t>(a) Le fabricant annonce-t-il une finalité médicale (diagnostiquer, prévenir, surveiller, prédire, traiter, atténuer une maladie, compenser un handicap) ? Non → Bien-être. Oui → Dispositif médical. Ça dépend de la phrase → À discuter.</t>
        </is>
      </c>
    </row>
    <row r="12">
      <c r="A12" s="4" t="inlineStr">
        <is>
          <t>(b) Recopiez la phrase de la notice, de la publicité ou du site qui le prouve. C'est elle qui décide, pas le capteur.</t>
        </is>
      </c>
    </row>
    <row r="13">
      <c r="A13" s="4" t="inlineStr">
        <is>
          <t>(c) Si dispositif médical : est-ce un logiciel ? Oui → règle 11. Non (objet physique) → autres règles (ex. règle 10 pour un appareil de mesure, règle 12 pour un appareil qui délivre un médicament).</t>
        </is>
      </c>
    </row>
    <row r="14">
      <c r="A14" s="4" t="inlineStr">
        <is>
          <t>(d) Classe I → en général pas d'organisme notifié (le fabricant s'auto-déclare). Dès IIa → organisme notifié obligatoire (ex. GMED en France).</t>
        </is>
      </c>
    </row>
    <row r="15">
      <c r="A15" s="4" t="n"/>
    </row>
    <row r="16">
      <c r="A16" s="3" t="inlineStr">
        <is>
          <t>Règle 11 en clair (logiciels)</t>
        </is>
      </c>
    </row>
    <row r="17">
      <c r="A17" s="4" t="inlineStr">
        <is>
          <t>• Il aide à décider d'un diagnostic ou d'un traitement → IIa ; si une erreur peut causer une détérioration grave ou une opération → IIb ; la mort ou un dommage irréversible → III.</t>
        </is>
      </c>
    </row>
    <row r="18">
      <c r="A18" s="4" t="inlineStr">
        <is>
          <t>• Il surveille le corps (processus physiologiques) → IIa ; des paramètres vitaux avec un danger immédiat → IIb.</t>
        </is>
      </c>
    </row>
    <row r="19">
      <c r="A19" s="4" t="inlineStr">
        <is>
          <t>• Tous les autres cas → I. Conséquence : la plupart des logiciels médicaux sont au moins IIa.</t>
        </is>
      </c>
    </row>
    <row r="20">
      <c r="A20" s="4" t="n"/>
    </row>
    <row r="21">
      <c r="A21" s="3" t="inlineStr">
        <is>
          <t>Astuce pour enquêter</t>
        </is>
      </c>
    </row>
    <row r="22">
      <c r="A22" s="4" t="inlineStr">
        <is>
          <t>Sur la notice ou l'emballage, un numéro à 4 chiffres à côté du logo CE signale qu'un organisme notifié est intervenu. Les mots « clinique » ou « validé par des médecins » ne prouvent rien à eux seuls.</t>
        </is>
      </c>
    </row>
    <row r="23">
      <c r="A23" s="4" t="n"/>
    </row>
    <row r="24">
      <c r="A24" s="3" t="inlineStr">
        <is>
          <t>Livrable</t>
        </is>
      </c>
    </row>
    <row r="25">
      <c r="A25" s="4" t="inlineStr">
        <is>
          <t>Enregistrez sous grille_classification_eqNN.xlsx (NN = numéro d'équipe) dans analyses/m3/ du dépôt.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tabSelected="1" zoomScale="90" workbookViewId="0">
      <pane xSplit="2" ySplit="4" topLeftCell="C5" activePane="bottomRight" state="frozen"/>
      <selection pane="bottomRight" activeCell="A1" sqref="A1"/>
      <selection pane="bottomLeft" activeCell="A1" sqref="A1"/>
      <selection pane="topRight" activeCell="A1" sqref="A1"/>
    </sheetView>
  </sheetViews>
  <sheetFormatPr baseColWidth="8" defaultRowHeight="15"/>
  <cols>
    <col width="5" customWidth="1" min="1" max="1"/>
    <col width="26" customWidth="1" min="2" max="2"/>
    <col width="30" customWidth="1" min="3" max="3"/>
    <col width="24" customWidth="1" min="4" max="4"/>
    <col width="20" customWidth="1" min="5" max="5"/>
    <col width="46" customWidth="1" min="6" max="6"/>
    <col width="12" customWidth="1" min="7" max="7"/>
    <col width="22" customWidth="1" min="8" max="8"/>
    <col width="13" customWidth="1" min="9" max="9"/>
    <col width="60" customWidth="1" min="10" max="10"/>
    <col width="34" customWidth="1" min="11" max="11"/>
  </cols>
  <sheetData>
    <row r="1">
      <c r="A1" s="6" t="inlineStr">
        <is>
          <t>Classer 8 produits réels</t>
        </is>
      </c>
    </row>
    <row r="2">
      <c r="A2" s="7" t="inlineStr">
        <is>
          <t>Une ligne par produit. Listes déroulantes en E, G, H, I. « (à vérifier) » = information à confirmer sur la notice ou le certificat du fabricant.</t>
        </is>
      </c>
    </row>
    <row r="4" ht="45" customHeight="1">
      <c r="A4" s="8" t="inlineStr">
        <is>
          <t>N°</t>
        </is>
      </c>
      <c r="B4" s="8" t="inlineStr">
        <is>
          <t>Produit</t>
        </is>
      </c>
      <c r="C4" s="8" t="inlineStr">
        <is>
          <t>Exemple réel à chercher</t>
        </is>
      </c>
      <c r="D4" s="8" t="inlineStr">
        <is>
          <t>Où chercher</t>
        </is>
      </c>
      <c r="E4" s="8" t="inlineStr">
        <is>
          <t>(a) Bien-être ou dispositif médical ?</t>
        </is>
      </c>
      <c r="F4" s="8" t="inlineStr">
        <is>
          <t>(b) Phrase de la notice ou de la publicité qui le prouve</t>
        </is>
      </c>
      <c r="G4" s="8" t="inlineStr">
        <is>
          <t>(c) Classe probable</t>
        </is>
      </c>
      <c r="H4" s="8" t="inlineStr">
        <is>
          <t>(c) Règle utilisée</t>
        </is>
      </c>
      <c r="I4" s="8" t="inlineStr">
        <is>
          <t>(d) Organisme notifié ?</t>
        </is>
      </c>
      <c r="J4" s="8" t="inlineStr">
        <is>
          <t>Justification (2 lignes)</t>
        </is>
      </c>
      <c r="K4" s="8" t="inlineStr">
        <is>
          <t>Vérification automatique (ne pas modifier)</t>
        </is>
      </c>
    </row>
    <row r="5" ht="60" customHeight="1">
      <c r="A5" s="9" t="n">
        <v>1</v>
      </c>
      <c r="B5" s="9" t="inlineStr">
        <is>
          <t>Application ECG d'une montre connectée</t>
        </is>
      </c>
      <c r="C5" s="9" t="inlineStr">
        <is>
          <t>App ECG de l'Apple Watch (Apple)</t>
        </is>
      </c>
      <c r="D5" s="9" t="inlineStr">
        <is>
          <t>Page d'aide Apple « app ECG », notice de l'app</t>
        </is>
      </c>
      <c r="E5" s="10" t="inlineStr">
        <is>
          <t>Dispositif médical</t>
        </is>
      </c>
      <c r="F5" s="10" t="inlineStr">
        <is>
          <t>« L'app ECG peut enregistrer un électrocardiogramme et rechercher des signes de fibrillation atriale (FA). » (page d'aide Apple « app ECG » ; à vérifier sur la notice de l'app)</t>
        </is>
      </c>
      <c r="G5" s="10" t="inlineStr">
        <is>
          <t>IIa</t>
        </is>
      </c>
      <c r="H5" s="10" t="inlineStr">
        <is>
          <t>Règle 11 (logiciel)</t>
        </is>
      </c>
      <c r="I5" s="10" t="inlineStr">
        <is>
          <t>Oui</t>
        </is>
      </c>
      <c r="J5" s="10" t="inlineStr">
        <is>
          <t>Logiciel qui aide à poser un diagnostic de trouble du rythme → règle 11, classe IIa, donc organisme notifié obligatoire. La montre elle-même reste un produit grand public : seule la fonction ECG porte le marquage CE médical.</t>
        </is>
      </c>
      <c r="K5" s="11">
        <f>IF(E5="","",IF(AND(E5="Bien-être",G5&lt;&gt;"—",G5&lt;&gt;""),"À revoir : un produit bien-être n'a pas de classe (—)",IF(AND(E5="Dispositif médical",OR(G5="—",G5="")),"Indiquez une classe : I, IIa, IIb ou III",IF(AND(OR(G5="IIa",G5="IIb",G5="III"),I5="Non"),"À revoir : dès IIa, organisme notifié",IF(AND(G5="I",I5="Oui"),"À vérifier : classe I = en général auto-déclaration",IF(F5="","Ajoutez la phrase qui prouve la finalité","OK"))))))</f>
        <v/>
      </c>
    </row>
    <row r="6" ht="60" customHeight="1">
      <c r="A6" s="9" t="n">
        <v>2</v>
      </c>
      <c r="B6" s="9" t="inlineStr">
        <is>
          <t>Tensiomètre connecté (bras)</t>
        </is>
      </c>
      <c r="C6" s="9" t="inlineStr">
        <is>
          <t>Withings BPM Connect, ou un tensiomètre Omron connecté</t>
        </is>
      </c>
      <c r="D6" s="9" t="inlineStr">
        <is>
          <t>Fiche produit, notice PDF (logo CE + numéro à 4 chiffres)</t>
        </is>
      </c>
      <c r="E6" s="10" t="inlineStr">
        <is>
          <t>Dispositif médical</t>
        </is>
      </c>
      <c r="F6" s="10" t="inlineStr">
        <is>
          <t>« Tensiomètre connecté qui mesure la pression artérielle et aide au dépistage de l'hypertension. » (fiche produit et notice Withings BPM Connect ; logo CE suivi d'un numéro à 4 chiffres, à vérifier)</t>
        </is>
      </c>
      <c r="G6" s="10" t="inlineStr">
        <is>
          <t>IIa</t>
        </is>
      </c>
      <c r="H6" s="10" t="inlineStr">
        <is>
          <t>Règle 10 (appareil de mesure)</t>
        </is>
      </c>
      <c r="I6" s="10" t="inlineStr">
        <is>
          <t>Oui</t>
        </is>
      </c>
      <c r="J6" s="10" t="inlineStr">
        <is>
          <t>Objet physique qui mesure une fonction vitale (pression artérielle) → règle 10, classe IIa. Le numéro à 4 chiffres à côté du CE prouve qu'un organisme notifié est intervenu.</t>
        </is>
      </c>
      <c r="K6" s="11">
        <f>IF(E6="","",IF(AND(E6="Bien-être",G6&lt;&gt;"—",G6&lt;&gt;""),"À revoir : un produit bien-être n'a pas de classe (—)",IF(AND(E6="Dispositif médical",OR(G6="—",G6="")),"Indiquez une classe : I, IIa, IIb ou III",IF(AND(OR(G6="IIa",G6="IIb",G6="III"),I6="Non"),"À revoir : dès IIa, organisme notifié",IF(AND(G6="I",I6="Oui"),"À vérifier : classe I = en général auto-déclaration",IF(F6="","Ajoutez la phrase qui prouve la finalité","OK"))))))</f>
        <v/>
      </c>
    </row>
    <row r="7" ht="60" customHeight="1">
      <c r="A7" s="9" t="n">
        <v>3</v>
      </c>
      <c r="B7" s="9" t="inlineStr">
        <is>
          <t>Application de méditation et de sommeil</t>
        </is>
      </c>
      <c r="C7" s="9" t="inlineStr">
        <is>
          <t>Petit BamBou (ou Calm, Headspace)</t>
        </is>
      </c>
      <c r="D7" s="9" t="inlineStr">
        <is>
          <t>Site de l'éditeur, fiche App Store / Google Play</t>
        </is>
      </c>
      <c r="E7" s="10" t="inlineStr">
        <is>
          <t>Bien-être</t>
        </is>
      </c>
      <c r="F7" s="10" t="inlineStr">
        <is>
          <t>« Méditation, sommeil et gestion du stress au quotidien. » (site de l'éditeur et fiche App Store de Petit BamBou)</t>
        </is>
      </c>
      <c r="G7" s="10" t="inlineStr">
        <is>
          <t>—</t>
        </is>
      </c>
      <c r="H7" s="10" t="inlineStr">
        <is>
          <t>—</t>
        </is>
      </c>
      <c r="I7" s="10" t="inlineStr">
        <is>
          <t>Non</t>
        </is>
      </c>
      <c r="J7" s="10" t="inlineStr">
        <is>
          <t>Aucune finalité médicale revendiquée : détente, sommeil, stress. Pas de dispositif médical, donc pas de classe. Le RGPD s'applique quand même aux données d'usage et de sommeil.</t>
        </is>
      </c>
      <c r="K7" s="11">
        <f>IF(E7="","",IF(AND(E7="Bien-être",G7&lt;&gt;"—",G7&lt;&gt;""),"À revoir : un produit bien-être n'a pas de classe (—)",IF(AND(E7="Dispositif médical",OR(G7="—",G7="")),"Indiquez une classe : I, IIa, IIb ou III",IF(AND(OR(G7="IIa",G7="IIb",G7="III"),I7="Non"),"À revoir : dès IIa, organisme notifié",IF(AND(G7="I",I7="Oui"),"À vérifier : classe I = en général auto-déclaration",IF(F7="","Ajoutez la phrase qui prouve la finalité","OK"))))))</f>
        <v/>
      </c>
    </row>
    <row r="8" ht="60" customHeight="1">
      <c r="A8" s="9" t="n">
        <v>4</v>
      </c>
      <c r="B8" s="9" t="inlineStr">
        <is>
          <t>Balance connectée « multifonction »</t>
        </is>
      </c>
      <c r="C8" s="9" t="inlineStr">
        <is>
          <t>Withings Body Scan 2 (juin 2026, 500 €) ; à comparer avec Withings BodyFit (juillet 2026)</t>
        </is>
      </c>
      <c r="D8" s="9" t="inlineStr">
        <is>
          <t>Fiche produit Withings, notice, FAQ « dispositif médical »</t>
        </is>
      </c>
      <c r="E8" s="10" t="inlineStr">
        <is>
          <t>À discuter</t>
        </is>
      </c>
      <c r="F8" s="10" t="inlineStr">
        <is>
          <t>Phrase bien-être : « Suivez votre composition corporelle, votre poids et votre forme. » — Phrase médicale : « ECG 6 dérivations et évaluation de la santé vasculaire et nerveuse. » (fiche Withings Body Scan 2 ; marquage CE médical des fonctions ECG à vérifier)</t>
        </is>
      </c>
      <c r="G8" s="10" t="inlineStr">
        <is>
          <t>IIa</t>
        </is>
      </c>
      <c r="H8" s="10" t="inlineStr">
        <is>
          <t>Règle 10 (appareil de mesure)</t>
        </is>
      </c>
      <c r="I8" s="10" t="inlineStr">
        <is>
          <t>Oui</t>
        </is>
      </c>
      <c r="J8" s="10" t="inlineStr">
        <is>
          <t>Produit mixte : poids et composition corporelle restent du bien-être ; la fonction ECG, revendiquée pour repérer un trouble du rythme, bascule en dispositif médical (IIa, organisme notifié). « De niveau clinique » sans marquage CE médical ne prouve rien — c'est la différence avec la BodyFit. (à vérifier)</t>
        </is>
      </c>
      <c r="K8" s="11">
        <f>IF(E8="","",IF(AND(E8="Bien-être",G8&lt;&gt;"—",G8&lt;&gt;""),"À revoir : un produit bien-être n'a pas de classe (—)",IF(AND(E8="Dispositif médical",OR(G8="—",G8="")),"Indiquez une classe : I, IIa, IIb ou III",IF(AND(OR(G8="IIa",G8="IIb",G8="III"),I8="Non"),"À revoir : dès IIa, organisme notifié",IF(AND(G8="I",I8="Oui"),"À vérifier : classe I = en général auto-déclaration",IF(F8="","Ajoutez la phrase qui prouve la finalité","OK"))))))</f>
        <v/>
      </c>
    </row>
    <row r="9" ht="60" customHeight="1">
      <c r="A9" s="9" t="n">
        <v>5</v>
      </c>
      <c r="B9" s="9" t="inlineStr">
        <is>
          <t>Pompe à insuline patch</t>
        </is>
      </c>
      <c r="C9" s="9" t="inlineStr">
        <is>
          <t>Omnipod (Insulet) ; rappel de lots de pods par l'ANSM le 3 juin 2026</t>
        </is>
      </c>
      <c r="D9" s="9" t="inlineStr">
        <is>
          <t>Site Omnipod, notice, avis de l'ANSM</t>
        </is>
      </c>
      <c r="E9" s="10" t="inlineStr">
        <is>
          <t>Dispositif médical</t>
        </is>
      </c>
      <c r="F9" s="10" t="inlineStr">
        <is>
          <t>« Pompe à insuline patch sans tubulure qui administre l'insuline en continu aux personnes diabétiques. » (site Omnipod et notice)</t>
        </is>
      </c>
      <c r="G9" s="10" t="inlineStr">
        <is>
          <t>IIb</t>
        </is>
      </c>
      <c r="H9" s="10" t="inlineStr">
        <is>
          <t>Règle 12 (administre un médicament)</t>
        </is>
      </c>
      <c r="I9" s="10" t="inlineStr">
        <is>
          <t>Oui</t>
        </is>
      </c>
      <c r="J9" s="10" t="inlineStr">
        <is>
          <t>Appareil actif qui administre un médicament dont une erreur de dose est dangereuse → règle 12, classe IIb, organisme notifié obligatoire. Le rappel de lots de pods par l'ANSM du 3 juin 2026 illustre la matériovigilance après mise sur le marché.</t>
        </is>
      </c>
      <c r="K9" s="11">
        <f>IF(E9="","",IF(AND(E9="Bien-être",G9&lt;&gt;"—",G9&lt;&gt;""),"À revoir : un produit bien-être n'a pas de classe (—)",IF(AND(E9="Dispositif médical",OR(G9="—",G9="")),"Indiquez une classe : I, IIa, IIb ou III",IF(AND(OR(G9="IIa",G9="IIb",G9="III"),I9="Non"),"À revoir : dès IIa, organisme notifié",IF(AND(G9="I",I9="Oui"),"À vérifier : classe I = en général auto-déclaration",IF(F9="","Ajoutez la phrase qui prouve la finalité","OK"))))))</f>
        <v/>
      </c>
    </row>
    <row r="10" ht="60" customHeight="1">
      <c r="A10" s="9" t="n">
        <v>6</v>
      </c>
      <c r="B10" s="9" t="inlineStr">
        <is>
          <t>Logiciel de télésurveillance cardiaque</t>
        </is>
      </c>
      <c r="C10" s="9" t="inlineStr">
        <is>
          <t>Implicity (inscrit le 20 mai 2026 sur la liste des télésurveillances remboursées) ; comparer avec LATITUDE CLARITY (3 mars 2026)</t>
        </is>
      </c>
      <c r="D10" s="9" t="inlineStr">
        <is>
          <t>Site Implicity, avis de la HAS (IMPLICITY IM009)</t>
        </is>
      </c>
      <c r="E10" s="10" t="inlineStr">
        <is>
          <t>Dispositif médical</t>
        </is>
      </c>
      <c r="F10" s="10" t="inlineStr">
        <is>
          <t>« Plateforme de télésurveillance des patients porteurs d'un dispositif cardiaque implantable. » (site Implicity ; avis HAS IMPLICITY IM009, inscription sur la liste des télésurveillances remboursées le 20 mai 2026)</t>
        </is>
      </c>
      <c r="G10" s="10" t="inlineStr">
        <is>
          <t>IIa</t>
        </is>
      </c>
      <c r="H10" s="10" t="inlineStr">
        <is>
          <t>Règle 11 (logiciel)</t>
        </is>
      </c>
      <c r="I10" s="10" t="inlineStr">
        <is>
          <t>Oui</t>
        </is>
      </c>
      <c r="J10" s="10" t="inlineStr">
        <is>
          <t>Logiciel qui surveille des processus physiologiques (rythme cardiaque, alertes du dispositif implanté) → règle 11, classe IIa ; IIb si le fabricant revendique la détection d'un danger immédiat (à vérifier). Le remboursement ne classe pas le produit mais confirme la finalité médicale.</t>
        </is>
      </c>
      <c r="K10" s="11">
        <f>IF(E10="","",IF(AND(E10="Bien-être",G10&lt;&gt;"—",G10&lt;&gt;""),"À revoir : un produit bien-être n'a pas de classe (—)",IF(AND(E10="Dispositif médical",OR(G10="—",G10="")),"Indiquez une classe : I, IIa, IIb ou III",IF(AND(OR(G10="IIa",G10="IIb",G10="III"),I10="Non"),"À revoir : dès IIa, organisme notifié",IF(AND(G10="I",I10="Oui"),"À vérifier : classe I = en général auto-déclaration",IF(F10="","Ajoutez la phrase qui prouve la finalité","OK"))))))</f>
        <v/>
      </c>
    </row>
    <row r="11" ht="60" customHeight="1">
      <c r="A11" s="9" t="n">
        <v>7</v>
      </c>
      <c r="B11" s="9" t="inlineStr">
        <is>
          <t>Détecteur de chute / téléassistance pour personne âgée (cas limite)</t>
        </is>
      </c>
      <c r="C11" s="9" t="inlineStr">
        <is>
          <t>Détection des chutes d'une montre connectée ; offre de téléassistance avec détecteur de chute (ex. Présence Verte ou l'offre de votre département)</t>
        </is>
      </c>
      <c r="D11" s="9" t="inlineStr">
        <is>
          <t>Site de l'offre, conditions générales, notice du détecteur</t>
        </is>
      </c>
      <c r="E11" s="10" t="inlineStr">
        <is>
          <t>À discuter</t>
        </is>
      </c>
      <c r="F11" s="10" t="inlineStr">
        <is>
          <t>Phrase bien-être : « Sécurité et tranquillité à domicile : un bouton pour appeler de l'aide, 24 h/24. » — Phrase médicale : « Détecte automatiquement les chutes et les malaises et alerte les secours. » (conditions générales de l'offre et notice du détecteur)</t>
        </is>
      </c>
      <c r="G11" s="10" t="inlineStr">
        <is>
          <t>—</t>
        </is>
      </c>
      <c r="H11" s="10" t="inlineStr">
        <is>
          <t>—</t>
        </is>
      </c>
      <c r="I11" s="10" t="inlineStr">
        <is>
          <t>Non</t>
        </is>
      </c>
      <c r="J11" s="10" t="inlineStr">
        <is>
          <t>Cas limite. Vendu comme service d'assistance et de sécurité, le détecteur reste hors MDR. Dès que le fabricant revendique la détection d'un événement de santé pour déclencher une prise en charge, il surveille un paramètre physiologique : dispositif médical, règle 11, IIa probable et organisme notifié. La classe dépend donc de la phrase retenue. (à vérifier)</t>
        </is>
      </c>
      <c r="K11" s="11">
        <f>IF(E11="","",IF(AND(E11="Bien-être",G11&lt;&gt;"—",G11&lt;&gt;""),"À revoir : un produit bien-être n'a pas de classe (—)",IF(AND(E11="Dispositif médical",OR(G11="—",G11="")),"Indiquez une classe : I, IIa, IIb ou III",IF(AND(OR(G11="IIa",G11="IIb",G11="III"),I11="Non"),"À revoir : dès IIa, organisme notifié",IF(AND(G11="I",I11="Oui"),"À vérifier : classe I = en général auto-déclaration",IF(F11="","Ajoutez la phrase qui prouve la finalité","OK"))))))</f>
        <v/>
      </c>
    </row>
    <row r="12" ht="60" customHeight="1">
      <c r="A12" s="9" t="n">
        <v>8</v>
      </c>
      <c r="B12" s="9" t="inlineStr">
        <is>
          <t>Pilulier connecté avec rappels (cas limite)</t>
        </is>
      </c>
      <c r="C12" s="9" t="inlineStr">
        <is>
          <t>Medissimo imedipac (pilulier connecté français)</t>
        </is>
      </c>
      <c r="D12" s="9" t="inlineStr">
        <is>
          <t>Site Medissimo ; avis de la HAS sur MEDIPAC (21 juin 2022)</t>
        </is>
      </c>
      <c r="E12" s="10" t="inlineStr">
        <is>
          <t>À discuter</t>
        </is>
      </c>
      <c r="F12" s="10" t="inlineStr">
        <is>
          <t>Phrase bien-être : « Pilulier connecté qui rappelle l'heure de la prise et range les médicaments de la semaine. » — Phrase médicale : « Sécurise l'observance du traitement et alerte l'aidant en cas d'oubli de prise. » (site Medissimo ; avis de la HAS sur MEDIPAC du 21 juin 2022)</t>
        </is>
      </c>
      <c r="G12" s="10" t="inlineStr">
        <is>
          <t>—</t>
        </is>
      </c>
      <c r="H12" s="10" t="inlineStr">
        <is>
          <t>—</t>
        </is>
      </c>
      <c r="I12" s="10" t="inlineStr">
        <is>
          <t>Non</t>
        </is>
      </c>
      <c r="J12" s="10" t="inlineStr">
        <is>
          <t>Cas limite. Un rappel d'horaire est de l'organisation, pas du soin. Si le fabricant revendique un effet sur le traitement (éviter l'erreur ou l'oubli de prise, donc atténuer une maladie), le pilulier devient un dispositif médical : règle 11, classe I à IIa selon le risque, avec organisme notifié dès IIa. (à vérifier)</t>
        </is>
      </c>
      <c r="K12" s="11">
        <f>IF(E12="","",IF(AND(E12="Bien-être",G12&lt;&gt;"—",G12&lt;&gt;""),"À revoir : un produit bien-être n'a pas de classe (—)",IF(AND(E12="Dispositif médical",OR(G12="—",G12="")),"Indiquez une classe : I, IIa, IIb ou III",IF(AND(OR(G12="IIa",G12="IIb",G12="III"),I12="Non"),"À revoir : dès IIa, organisme notifié",IF(AND(G12="I",I12="Oui"),"À vérifier : classe I = en général auto-déclaration",IF(F12="","Ajoutez la phrase qui prouve la finalité","OK"))))))</f>
        <v/>
      </c>
    </row>
    <row r="13" ht="60" customHeight="1">
      <c r="A13" s="11" t="n">
        <v>9</v>
      </c>
      <c r="B13" s="10" t="inlineStr">
        <is>
          <t>Cas A (chute) — Projet 2 : détection et prédiction de malaise et de chute en EHPAD, 20+ résidents</t>
        </is>
      </c>
      <c r="C13" s="10" t="n"/>
      <c r="D13" s="10" t="n"/>
      <c r="E13" s="10" t="inlineStr">
        <is>
          <t>Dispositif médical</t>
        </is>
      </c>
      <c r="F13" s="10" t="inlineStr">
        <is>
          <t>« Surveille en continu les constantes vitales et les mouvements des résidents, détecte les chutes et les malaises, prédit le risque et alerte le personnel soignant en moins d'une minute. »</t>
        </is>
      </c>
      <c r="G13" s="10" t="inlineStr">
        <is>
          <t>IIb</t>
        </is>
      </c>
      <c r="H13" s="10" t="inlineStr">
        <is>
          <t>Règle 11 (logiciel)</t>
        </is>
      </c>
      <c r="I13" s="10" t="inlineStr">
        <is>
          <t>Oui</t>
        </is>
      </c>
      <c r="J13" s="10" t="inlineStr">
        <is>
          <t>Logiciel qui surveille des paramètres vitaux (fréquence cardiaque, SpO2, mouvement) dans une situation où un retard d'alerte peut être fatal → règle 11, classe IIb ; IIa si l'on ne revendiquait qu'une surveillance sans urgence vitale. Notre phrase va plus loin que « alerte quand un résident tombe » : elle promet de prédire le risque, donc de la prévention et de la prédiction — lecture médicale. Dès IIa, organisme notifié obligatoire (GMED en France). (à vérifier)</t>
        </is>
      </c>
      <c r="K13" s="11">
        <f>IF(E13="","",IF(AND(E13="Bien-être",G13&lt;&gt;"—",G13&lt;&gt;""),"À revoir : un produit bien-être n'a pas de classe (—)",IF(AND(E13="Dispositif médical",OR(G13="—",G13="")),"Indiquez une classe : I, IIa, IIb ou III",IF(AND(OR(G13="IIa",G13="IIb",G13="III"),I13="Non"),"À revoir : dès IIa, organisme notifié",IF(AND(G13="I",I13="Oui"),"À vérifier : classe I = en général auto-déclaration",IF(F13="","Ajoutez la phrase qui prouve la finalité","OK"))))))</f>
        <v/>
      </c>
    </row>
    <row r="15">
      <c r="B15" s="12" t="inlineStr">
        <is>
          <t>Nombre de produits remplis (colonne E)</t>
        </is>
      </c>
      <c r="E15">
        <f>COUNTA(E5:E13)</f>
        <v/>
      </c>
    </row>
    <row r="16">
      <c r="B16" s="12" t="inlineStr">
        <is>
          <t>Lignes « OK » (vérification automatique)</t>
        </is>
      </c>
      <c r="E16">
        <f>COUNTIF(K5:K13,"OK")</f>
        <v/>
      </c>
    </row>
  </sheetData>
  <conditionalFormatting sqref="K5:K13">
    <cfRule type="expression" priority="1" dxfId="1">
      <formula>K5="OK"</formula>
    </cfRule>
    <cfRule type="expression" priority="2" dxfId="0">
      <formula>AND(K5&lt;&gt;"",K5&lt;&gt;"OK")</formula>
    </cfRule>
  </conditionalFormatting>
  <dataValidations count="4">
    <dataValidation sqref="E5 E6 E7 E8 E9 E10 E11 E12 E13" showDropDown="0" showInputMessage="0" showErrorMessage="0" allowBlank="1" errorTitle="Valeur non prévue" error="Choisissez une valeur de la liste." promptTitle="Choix" prompt="Bien-être, Dispositif médical ou À discuter" type="list">
      <formula1>"Bien-être,Dispositif médical,À discuter"</formula1>
    </dataValidation>
    <dataValidation sqref="G5 G6 G7 G8 G9 G10 G11 G12 G13" showDropDown="0" showInputMessage="0" showErrorMessage="0" allowBlank="1" errorTitle="Valeur non prévue" error="Choisissez une valeur de la liste." promptTitle="Choix" prompt="I, IIa, IIb, III ou —" type="list">
      <formula1>"I,IIa,IIb,III,—"</formula1>
    </dataValidation>
    <dataValidation sqref="I5 I6 I7 I8 I9 I10 I11 I12 I13" showDropDown="0" showInputMessage="0" showErrorMessage="0" allowBlank="1" errorTitle="Valeur non prévue" error="Choisissez une valeur de la liste." promptTitle="Choix" prompt="Oui ou Non" type="list">
      <formula1>"Oui,Non"</formula1>
    </dataValidation>
    <dataValidation sqref="H5 H6 H7 H8 H9 H10 H11 H12 H13" showDropDown="0" showInputMessage="0" showErrorMessage="0" allowBlank="1" errorTitle="Valeur non prévue" error="Choisissez une valeur de la liste." promptTitle="Choix" prompt="Choisissez une règle ou écrivez-la" type="list">
      <formula1>"Règle 11 (logiciel),Règle 10 (appareil de mesure),Règle 12 (administre un médicament),Règle 13 (autre appareil actif),Autre (préciser),—"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2026-10-14T06:50:02Z</dcterms:created>
  <dcterms:modified xsi:type="dcterms:W3CDTF">2026-10-16T09:18:21Z</dcterms:modified>
  <cp:lastModifiedBy>Alexandre Faucourt</cp:lastModifiedBy>
</cp:coreProperties>
</file>