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Lisez-moi" sheetId="1" state="visible" r:id="rId1"/>
    <sheet name="Échelles" sheetId="2" state="visible" r:id="rId2"/>
    <sheet name="Analyse de risques" sheetId="3" state="visible" r:id="rId3"/>
    <sheet name="Synthès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color rgb="00595959"/>
      <sz val="11"/>
    </font>
    <font>
      <b val="1"/>
      <sz val="11"/>
    </font>
    <font>
      <color rgb="000000FF"/>
      <sz val="11"/>
    </font>
    <font>
      <b val="1"/>
      <color rgb="00FFFFFF"/>
      <sz val="11"/>
    </font>
    <font>
      <i val="1"/>
      <color rgb="00595959"/>
    </font>
    <font>
      <i val="1"/>
      <color rgb="000000FF"/>
      <sz val="11"/>
    </font>
    <font>
      <b val="1"/>
      <color rgb="00FFFFFF"/>
    </font>
  </fonts>
  <fills count="10">
    <fill>
      <patternFill/>
    </fill>
    <fill>
      <patternFill patternType="gray125"/>
    </fill>
    <fill>
      <patternFill patternType="solid">
        <fgColor rgb="00DDEBF7"/>
      </patternFill>
    </fill>
    <fill>
      <patternFill patternType="solid">
        <fgColor rgb="001F4E78"/>
      </patternFill>
    </fill>
    <fill>
      <patternFill patternType="solid">
        <fgColor rgb="00D6E4F2"/>
      </patternFill>
    </fill>
    <fill>
      <patternFill patternType="solid">
        <fgColor rgb="00E7E6E6"/>
      </patternFill>
    </fill>
    <fill>
      <patternFill patternType="solid">
        <fgColor rgb="00DCF4EA"/>
      </patternFill>
    </fill>
    <fill>
      <patternFill patternType="solid">
        <fgColor rgb="00F2F2F2"/>
      </patternFill>
    </fill>
    <fill>
      <patternFill patternType="solid">
        <fgColor rgb="00F6B08F"/>
      </patternFill>
    </fill>
    <fill>
      <patternFill patternType="solid">
        <fgColor rgb="00EB683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1" fillId="0" borderId="0" pivotButton="0" quotePrefix="0" xfId="0"/>
    <xf numFmtId="0" fontId="5" fillId="3" borderId="1" pivotButton="0" quotePrefix="0" xfId="0"/>
    <xf numFmtId="0" fontId="0" fillId="0" borderId="1" applyAlignment="1" pivotButton="0" quotePrefix="0" xfId="0">
      <alignment vertical="top" wrapText="1"/>
    </xf>
    <xf numFmtId="0" fontId="3" fillId="0" borderId="0" pivotButton="0" quotePrefix="0" xfId="0"/>
    <xf numFmtId="0" fontId="0" fillId="0" borderId="1" pivotButton="0" quotePrefix="0" xfId="0"/>
    <xf numFmtId="0" fontId="6"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2" borderId="0" pivotButton="0" quotePrefix="0" xfId="0"/>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7" fillId="2" borderId="1" applyAlignment="1" pivotButton="0" quotePrefix="0" xfId="0">
      <alignment vertical="top" wrapText="1"/>
    </xf>
    <xf numFmtId="0" fontId="7" fillId="2" borderId="1" applyAlignment="1" pivotButton="0" quotePrefix="0" xfId="0">
      <alignment horizontal="center" vertical="center" wrapText="1"/>
    </xf>
    <xf numFmtId="0" fontId="4" fillId="2" borderId="1" applyAlignment="1" pivotButton="0" quotePrefix="0" xfId="0">
      <alignment vertical="top" wrapText="1"/>
    </xf>
    <xf numFmtId="0" fontId="4" fillId="2" borderId="1" applyAlignment="1" pivotButton="0" quotePrefix="0" xfId="0">
      <alignment horizontal="center" vertical="center" wrapText="1"/>
    </xf>
    <xf numFmtId="0" fontId="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6" borderId="1" applyAlignment="1" pivotButton="0" quotePrefix="0" xfId="0">
      <alignment horizontal="center" vertical="center" wrapText="1"/>
    </xf>
    <xf numFmtId="0" fontId="2" fillId="0" borderId="0" pivotButton="0" quotePrefix="0" xfId="0"/>
    <xf numFmtId="0" fontId="0" fillId="0" borderId="4" pivotButton="0" quotePrefix="0" xfId="0"/>
    <xf numFmtId="0" fontId="0" fillId="0" borderId="5" pivotButton="0" quotePrefix="0" xfId="0"/>
  </cellXfs>
  <cellStyles count="1">
    <cellStyle name="Normal" xfId="0" builtinId="0" hidden="0"/>
  </cellStyles>
  <dxfs count="3">
    <dxf>
      <font>
        <b val="1"/>
        <color rgb="00FFFFFF"/>
      </font>
      <fill>
        <patternFill patternType="solid">
          <fgColor rgb="00EB6834"/>
        </patternFill>
      </fill>
    </dxf>
    <dxf>
      <font>
        <b val="1"/>
      </font>
      <fill>
        <patternFill patternType="solid">
          <fgColor rgb="00F6B08F"/>
        </patternFill>
      </fill>
    </dxf>
    <dxf>
      <fill>
        <patternFill patternType="solid">
          <fgColor rgb="00DC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5" customWidth="1" min="1" max="1"/>
  </cols>
  <sheetData>
    <row r="1">
      <c r="A1" s="1" t="inlineStr">
        <is>
          <t>Analyse de risques ISO 14971 simplifiée — TP M3-2</t>
        </is>
      </c>
    </row>
    <row r="2">
      <c r="A2" s="2" t="inlineStr">
        <is>
          <t>Module 3 — vendredi 16 octobre 2026 — MBA Santé, IA &amp; IoT — Epitech — Nicolas LAURIO</t>
        </is>
      </c>
    </row>
    <row r="3">
      <c r="A3" s="3" t="inlineStr">
        <is>
          <t>Exercice d'entraînement. Matrice d'exemple, simplifiée pour le cours : dans un vrai dossier, le fabricant définit lui-même ses échelles et ses seuils.</t>
        </is>
      </c>
    </row>
    <row r="4">
      <c r="A4" s="4" t="inlineStr"/>
    </row>
    <row r="5">
      <c r="A5" s="3" t="inlineStr">
        <is>
          <t>Légende des cellules</t>
        </is>
      </c>
    </row>
    <row r="6">
      <c r="A6" s="5" t="inlineStr">
        <is>
          <t>Police bleue sur fond bleu pâle = à remplir par l'équipe (listes déroulantes : type de danger, gravité, probabilité).</t>
        </is>
      </c>
    </row>
    <row r="7">
      <c r="A7" s="4" t="inlineStr">
        <is>
          <t>Police noire sur fond blanc dans les colonnes « Risque » et « Niveau » = formule : ne pas écraser.</t>
        </is>
      </c>
    </row>
    <row r="8">
      <c r="A8" s="4" t="inlineStr">
        <is>
          <t>Couleur automatique du niveau : vert pâle = faible (acceptable), orange clair = moyen (à réduire), orange foncé = élevé (inacceptable).</t>
        </is>
      </c>
    </row>
    <row r="9">
      <c r="A9" s="4" t="inlineStr"/>
    </row>
    <row r="10">
      <c r="A10" s="3" t="inlineStr">
        <is>
          <t>La chaîne à remplir, de gauche à droite (comme une rangée de dominos)</t>
        </is>
      </c>
    </row>
    <row r="11">
      <c r="A11" s="4" t="inlineStr">
        <is>
          <t>Danger (ce qui peut faire du mal) → séquence d'événements (ce qui s'enchaîne) → situation dangereuse (une personne est exposée) → dommage (l'atteinte à la santé).</t>
        </is>
      </c>
    </row>
    <row r="12">
      <c r="A12" s="4" t="inlineStr">
        <is>
          <t>Puis : gravité (1 à 3) × probabilité (1 à 3) = risque → niveau. Puis 3 mesures, dans l'ordre imposé : 1) conception, 2) protection, 3) information. Puis on recote : c'est le risque résiduel.</t>
        </is>
      </c>
    </row>
    <row r="13">
      <c r="A13" s="4" t="inlineStr"/>
    </row>
    <row r="14">
      <c r="A14" s="3" t="inlineStr">
        <is>
          <t>Onglets</t>
        </is>
      </c>
    </row>
    <row r="15">
      <c r="A15" s="4" t="inlineStr">
        <is>
          <t>Échelles : définitions de la gravité et de la probabilité, seuils des zones, matrice 3 × 3.</t>
        </is>
      </c>
    </row>
    <row r="16">
      <c r="A16" s="4" t="inlineStr">
        <is>
          <t>Analyse de risques : le tableau à remplir (ligne 9 = exemple rempli « batterie vide », à garder ou adapter).</t>
        </is>
      </c>
    </row>
    <row r="17">
      <c r="A17" s="4" t="inlineStr">
        <is>
          <t>Synthèse : nombre de risques dans chaque case de la matrice, avant et après les mesures ; contrôles.</t>
        </is>
      </c>
    </row>
    <row r="18">
      <c r="A18" s="4" t="inlineStr"/>
    </row>
    <row r="19">
      <c r="A19" s="3" t="inlineStr">
        <is>
          <t>Livrable</t>
        </is>
      </c>
    </row>
    <row r="20">
      <c r="A20" s="4" t="inlineStr">
        <is>
          <t>Enregistrez sous analyse_risques_eqNN.xlsx (NN = numéro d'équipe) dans analyses/m3/ du dépôt. Au moins 5 dangers : techniques, d'utilisation, de cybersécurité.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6" customWidth="1" min="1" max="1"/>
    <col width="22" customWidth="1" min="2" max="2"/>
    <col width="60" customWidth="1" min="3" max="3"/>
    <col width="18" customWidth="1" min="4" max="4"/>
    <col width="18" customWidth="1" min="5" max="5"/>
    <col width="18" customWidth="1" min="6" max="6"/>
  </cols>
  <sheetData>
    <row r="1">
      <c r="A1" s="6" t="inlineStr">
        <is>
          <t>Échelles de cotation (matrice d'exemple, simplifiée pour le cours)</t>
        </is>
      </c>
    </row>
    <row r="3">
      <c r="A3" s="7" t="inlineStr">
        <is>
          <t>Gravité</t>
        </is>
      </c>
      <c r="B3" s="7" t="inlineStr">
        <is>
          <t>Nom</t>
        </is>
      </c>
      <c r="C3" s="7" t="inlineStr">
        <is>
          <t>Ce que ça veut dire (exemple : cas A, EHPAD)</t>
        </is>
      </c>
    </row>
    <row r="4">
      <c r="A4" s="8" t="n">
        <v>1</v>
      </c>
      <c r="B4" s="8" t="inlineStr">
        <is>
          <t>Légère</t>
        </is>
      </c>
      <c r="C4" s="8" t="inlineStr">
        <is>
          <t>Gêne passagère, sans soins (ex. rougeur, résidente réveillée la nuit)</t>
        </is>
      </c>
    </row>
    <row r="5">
      <c r="A5" s="8" t="n">
        <v>2</v>
      </c>
      <c r="B5" s="8" t="inlineStr">
        <is>
          <t>Modérée</t>
        </is>
      </c>
      <c r="C5" s="8" t="inlineStr">
        <is>
          <t>Soins nécessaires, puis guérison (ex. plaie à panser, hématome)</t>
        </is>
      </c>
    </row>
    <row r="6">
      <c r="A6" s="8" t="n">
        <v>3</v>
      </c>
      <c r="B6" s="8" t="inlineStr">
        <is>
          <t>Grave</t>
        </is>
      </c>
      <c r="C6" s="8" t="inlineStr">
        <is>
          <t>Séquelles ou décès (ex. plusieurs heures au sol : déshydratation, escarres, hospitalisation)</t>
        </is>
      </c>
    </row>
    <row r="7">
      <c r="A7" s="7" t="inlineStr">
        <is>
          <t>Probabilité</t>
        </is>
      </c>
      <c r="B7" s="7" t="inlineStr">
        <is>
          <t>Nom</t>
        </is>
      </c>
      <c r="C7" s="7" t="inlineStr">
        <is>
          <t>Ce que ça veut dire (repère pour un EHPAD équipé)</t>
        </is>
      </c>
    </row>
    <row r="8">
      <c r="A8" s="8" t="n">
        <v>1</v>
      </c>
      <c r="B8" s="8" t="inlineStr">
        <is>
          <t>Rare</t>
        </is>
      </c>
      <c r="C8" s="8" t="inlineStr">
        <is>
          <t>On l'imagine difficilement : peut-être une fois en plusieurs années</t>
        </is>
      </c>
    </row>
    <row r="9">
      <c r="A9" s="8" t="n">
        <v>2</v>
      </c>
      <c r="B9" s="8" t="inlineStr">
        <is>
          <t>Possible</t>
        </is>
      </c>
      <c r="C9" s="8" t="inlineStr">
        <is>
          <t>Cela arrivera sans doute un jour : quelques fois par an</t>
        </is>
      </c>
    </row>
    <row r="10">
      <c r="A10" s="8" t="n">
        <v>3</v>
      </c>
      <c r="B10" s="8" t="inlineStr">
        <is>
          <t>Fréquente</t>
        </is>
      </c>
      <c r="C10" s="8" t="inlineStr">
        <is>
          <t>On s'y attend : chaque mois, voire plus souvent</t>
        </is>
      </c>
    </row>
    <row r="12">
      <c r="A12" s="9" t="inlineStr">
        <is>
          <t>Seuils des zones (risque = gravité × probabilité, de 1 à 9)</t>
        </is>
      </c>
    </row>
    <row r="13">
      <c r="A13" s="7" t="inlineStr">
        <is>
          <t>Zone</t>
        </is>
      </c>
      <c r="B13" s="7" t="inlineStr">
        <is>
          <t>Mot des slides</t>
        </is>
      </c>
      <c r="C13" s="7" t="inlineStr">
        <is>
          <t>À partir d'un risque de…</t>
        </is>
      </c>
    </row>
    <row r="14">
      <c r="A14" s="10" t="inlineStr">
        <is>
          <t>À réduire</t>
        </is>
      </c>
      <c r="B14" s="10" t="inlineStr">
        <is>
          <t>Moyen</t>
        </is>
      </c>
      <c r="C14" s="10" t="n">
        <v>3</v>
      </c>
      <c r="D14" t="inlineStr">
        <is>
          <t>Moyen : réduire autant que possible, puis justifier par le bénéfice.</t>
        </is>
      </c>
    </row>
    <row r="15">
      <c r="A15" s="10" t="inlineStr">
        <is>
          <t>Inacceptable</t>
        </is>
      </c>
      <c r="B15" s="10" t="inlineStr">
        <is>
          <t>Élevé</t>
        </is>
      </c>
      <c r="C15" s="10" t="n">
        <v>6</v>
      </c>
      <c r="D15" t="inlineStr">
        <is>
          <t>Élevé : inacceptable en l'état, il faut réduire le risque.</t>
        </is>
      </c>
    </row>
    <row r="16">
      <c r="A16" s="10" t="inlineStr">
        <is>
          <t>Acceptable</t>
        </is>
      </c>
      <c r="B16" s="10" t="inlineStr">
        <is>
          <t>Faible</t>
        </is>
      </c>
      <c r="C16" s="10" t="inlineStr">
        <is>
          <t>en dessous de 3 (1 ou 2)</t>
        </is>
      </c>
      <c r="D16" t="inlineStr">
        <is>
          <t>Faible : acceptable, on le note quand même.</t>
        </is>
      </c>
    </row>
    <row r="18">
      <c r="A18" s="9" t="inlineStr">
        <is>
          <t>Quelles cases dans quelle zone ?</t>
        </is>
      </c>
    </row>
    <row r="19">
      <c r="A19" t="inlineStr">
        <is>
          <t>Faible (acceptable) : Légère × Rare (1), Légère × Possible (2), Modérée × Rare (2).</t>
        </is>
      </c>
    </row>
    <row r="20">
      <c r="A20" t="inlineStr">
        <is>
          <t>Moyen (à réduire) : Légère × Fréquente (3), Grave × Rare (3), Modérée × Possible (4).</t>
        </is>
      </c>
    </row>
    <row r="21">
      <c r="A21" t="inlineStr">
        <is>
          <t>Élevé (inacceptable) : Modérée × Fréquente (6), Grave × Possible (6), Grave × Fréquente (9).</t>
        </is>
      </c>
    </row>
    <row r="22">
      <c r="A22" s="11" t="inlineStr">
        <is>
          <t>Conséquence : un dommage grave ne descend jamais sous « moyen ». On le réduit autant que possible, puis on justifie par le bénéfice pour le patient.</t>
        </is>
      </c>
    </row>
    <row r="24">
      <c r="A24" s="9" t="inlineStr">
        <is>
          <t>Matrice 3 × 3 (calculée)</t>
        </is>
      </c>
    </row>
    <row r="25">
      <c r="A25" s="9" t="inlineStr">
        <is>
          <t>Gravité ↓ / Probabilité →</t>
        </is>
      </c>
      <c r="B25" s="12" t="inlineStr">
        <is>
          <t>1 Rare</t>
        </is>
      </c>
      <c r="C25" s="12" t="inlineStr">
        <is>
          <t>2 Possible</t>
        </is>
      </c>
      <c r="D25" s="12" t="inlineStr">
        <is>
          <t>3 Fréquente</t>
        </is>
      </c>
    </row>
    <row r="26" ht="30" customHeight="1">
      <c r="A26" s="7" t="inlineStr">
        <is>
          <t>3 Grave</t>
        </is>
      </c>
      <c r="B26" s="13">
        <f>VALUE(LEFT($A26,1))*VALUE(LEFT(B$25,1))&amp;" : "&amp;IF(VALUE(LEFT($A26,1))*VALUE(LEFT(B$25,1))&gt;=$C$15,"Élevé",IF(VALUE(LEFT($A26,1))*VALUE(LEFT(B$25,1))&gt;=$C$14,"Moyen","Faible"))</f>
        <v/>
      </c>
      <c r="C26" s="13">
        <f>VALUE(LEFT($A26,1))*VALUE(LEFT(C$25,1))&amp;" : "&amp;IF(VALUE(LEFT($A26,1))*VALUE(LEFT(C$25,1))&gt;=$C$15,"Élevé",IF(VALUE(LEFT($A26,1))*VALUE(LEFT(C$25,1))&gt;=$C$14,"Moyen","Faible"))</f>
        <v/>
      </c>
      <c r="D26" s="13">
        <f>VALUE(LEFT($A26,1))*VALUE(LEFT(D$25,1))&amp;" : "&amp;IF(VALUE(LEFT($A26,1))*VALUE(LEFT(D$25,1))&gt;=$C$15,"Élevé",IF(VALUE(LEFT($A26,1))*VALUE(LEFT(D$25,1))&gt;=$C$14,"Moyen","Faible"))</f>
        <v/>
      </c>
    </row>
    <row r="27" ht="30" customHeight="1">
      <c r="A27" s="7" t="inlineStr">
        <is>
          <t>2 Modérée</t>
        </is>
      </c>
      <c r="B27" s="13">
        <f>VALUE(LEFT($A27,1))*VALUE(LEFT(B$25,1))&amp;" : "&amp;IF(VALUE(LEFT($A27,1))*VALUE(LEFT(B$25,1))&gt;=$C$15,"Élevé",IF(VALUE(LEFT($A27,1))*VALUE(LEFT(B$25,1))&gt;=$C$14,"Moyen","Faible"))</f>
        <v/>
      </c>
      <c r="C27" s="13">
        <f>VALUE(LEFT($A27,1))*VALUE(LEFT(C$25,1))&amp;" : "&amp;IF(VALUE(LEFT($A27,1))*VALUE(LEFT(C$25,1))&gt;=$C$15,"Élevé",IF(VALUE(LEFT($A27,1))*VALUE(LEFT(C$25,1))&gt;=$C$14,"Moyen","Faible"))</f>
        <v/>
      </c>
      <c r="D27" s="13">
        <f>VALUE(LEFT($A27,1))*VALUE(LEFT(D$25,1))&amp;" : "&amp;IF(VALUE(LEFT($A27,1))*VALUE(LEFT(D$25,1))&gt;=$C$15,"Élevé",IF(VALUE(LEFT($A27,1))*VALUE(LEFT(D$25,1))&gt;=$C$14,"Moyen","Faible"))</f>
        <v/>
      </c>
    </row>
    <row r="28" ht="30" customHeight="1">
      <c r="A28" s="7" t="inlineStr">
        <is>
          <t>1 Légère</t>
        </is>
      </c>
      <c r="B28" s="13">
        <f>VALUE(LEFT($A28,1))*VALUE(LEFT(B$25,1))&amp;" : "&amp;IF(VALUE(LEFT($A28,1))*VALUE(LEFT(B$25,1))&gt;=$C$15,"Élevé",IF(VALUE(LEFT($A28,1))*VALUE(LEFT(B$25,1))&gt;=$C$14,"Moyen","Faible"))</f>
        <v/>
      </c>
      <c r="C28" s="13">
        <f>VALUE(LEFT($A28,1))*VALUE(LEFT(C$25,1))&amp;" : "&amp;IF(VALUE(LEFT($A28,1))*VALUE(LEFT(C$25,1))&gt;=$C$15,"Élevé",IF(VALUE(LEFT($A28,1))*VALUE(LEFT(C$25,1))&gt;=$C$14,"Moyen","Faible"))</f>
        <v/>
      </c>
      <c r="D28" s="13">
        <f>VALUE(LEFT($A28,1))*VALUE(LEFT(D$25,1))&amp;" : "&amp;IF(VALUE(LEFT($A28,1))*VALUE(LEFT(D$25,1))&gt;=$C$15,"Élevé",IF(VALUE(LEFT($A28,1))*VALUE(LEFT(D$25,1))&gt;=$C$14,"Moyen","Faible"))</f>
        <v/>
      </c>
    </row>
  </sheetData>
  <conditionalFormatting sqref="B26:D28">
    <cfRule type="expression" priority="1" dxfId="0">
      <formula>ISNUMBER(SEARCH("Élevé",B26))</formula>
    </cfRule>
    <cfRule type="expression" priority="2" dxfId="1">
      <formula>ISNUMBER(SEARCH("Moyen",B26))</formula>
    </cfRule>
    <cfRule type="expression" priority="3" dxfId="2">
      <formula>ISNUMBER(SEARCH("Faible",B26))</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
  <sheetViews>
    <sheetView zoomScale="85" workbookViewId="0">
      <pane xSplit="3" ySplit="8" topLeftCell="D9"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28" customWidth="1" min="3" max="3"/>
    <col width="38" customWidth="1" min="4" max="4"/>
    <col width="30" customWidth="1" min="5" max="5"/>
    <col width="30" customWidth="1" min="6" max="6"/>
    <col width="10" customWidth="1" min="7" max="7"/>
    <col width="11" customWidth="1" min="8" max="8"/>
    <col width="10" customWidth="1" min="9" max="9"/>
    <col width="20" customWidth="1" min="10" max="10"/>
    <col width="38" customWidth="1" min="11" max="11"/>
    <col width="34" customWidth="1" min="12" max="12"/>
    <col width="32" customWidth="1" min="13" max="13"/>
    <col width="10" customWidth="1" min="14" max="14"/>
    <col width="11" customWidth="1" min="15" max="15"/>
    <col width="10" customWidth="1" min="16" max="16"/>
    <col width="20" customWidth="1" min="17" max="17"/>
    <col width="46" customWidth="1" min="18" max="18"/>
  </cols>
  <sheetData>
    <row r="1">
      <c r="A1" s="6" t="inlineStr">
        <is>
          <t>Analyse de risques de votre projet (ISO 14971 simplifiée)</t>
        </is>
      </c>
    </row>
    <row r="2">
      <c r="A2" s="9" t="inlineStr">
        <is>
          <t>Équipe (numéro)</t>
        </is>
      </c>
      <c r="C2" s="14" t="inlineStr">
        <is>
          <t>eq05</t>
        </is>
      </c>
    </row>
    <row r="3">
      <c r="A3" s="9" t="inlineStr">
        <is>
          <t>Cas d'usage</t>
        </is>
      </c>
      <c r="C3" s="14" t="inlineStr">
        <is>
          <t>A (chute)</t>
        </is>
      </c>
    </row>
    <row r="4">
      <c r="A4" s="9" t="inlineStr">
        <is>
          <t>Finalité en une phrase</t>
        </is>
      </c>
      <c r="C4" s="14" t="inlineStr">
        <is>
          <t>Surveille en continu les constantes vitales et les mouvements des résidents, détecte les chutes et les malaises, prédit le risque et alerte le personnel soignant en moins d'une minute.</t>
        </is>
      </c>
    </row>
    <row r="7">
      <c r="A7" s="15" t="inlineStr">
        <is>
          <t>1. LA CHAÎNE DU RISQUE (dominos)</t>
        </is>
      </c>
      <c r="G7" s="16" t="inlineStr">
        <is>
          <t>2. COTATION AVANT MESURES</t>
        </is>
      </c>
      <c r="K7" s="17" t="inlineStr">
        <is>
          <t>3. MESURES, DANS L'ORDRE IMPOSÉ</t>
        </is>
      </c>
      <c r="N7" s="16" t="inlineStr">
        <is>
          <t>4. RISQUE RÉSIDUEL</t>
        </is>
      </c>
      <c r="R7" s="18" t="inlineStr">
        <is>
          <t>5. JUSTIFIER</t>
        </is>
      </c>
    </row>
    <row r="8" ht="48" customHeight="1">
      <c r="A8" s="12" t="inlineStr">
        <is>
          <t>N°</t>
        </is>
      </c>
      <c r="B8" s="12" t="inlineStr">
        <is>
          <t>Type de danger</t>
        </is>
      </c>
      <c r="C8" s="12" t="inlineStr">
        <is>
          <t>Danger</t>
        </is>
      </c>
      <c r="D8" s="12" t="inlineStr">
        <is>
          <t>Séquence d'événements</t>
        </is>
      </c>
      <c r="E8" s="12" t="inlineStr">
        <is>
          <t>Situation dangereuse</t>
        </is>
      </c>
      <c r="F8" s="12" t="inlineStr">
        <is>
          <t>Dommage</t>
        </is>
      </c>
      <c r="G8" s="12" t="inlineStr">
        <is>
          <t>Gravité (1-3)</t>
        </is>
      </c>
      <c r="H8" s="12" t="inlineStr">
        <is>
          <t>Probabilité (1-3)</t>
        </is>
      </c>
      <c r="I8" s="12" t="inlineStr">
        <is>
          <t>Risque = G × P</t>
        </is>
      </c>
      <c r="J8" s="12" t="inlineStr">
        <is>
          <t>Niveau</t>
        </is>
      </c>
      <c r="K8" s="12" t="inlineStr">
        <is>
          <t>Mesure 1 — sécurité par la conception</t>
        </is>
      </c>
      <c r="L8" s="12" t="inlineStr">
        <is>
          <t>Mesure 2 — protection (alarme, garde-fou)</t>
        </is>
      </c>
      <c r="M8" s="12" t="inlineStr">
        <is>
          <t>Mesure 3 — information (notice, formation)</t>
        </is>
      </c>
      <c r="N8" s="12" t="inlineStr">
        <is>
          <t>Gravité après</t>
        </is>
      </c>
      <c r="O8" s="12" t="inlineStr">
        <is>
          <t>Probabilité après</t>
        </is>
      </c>
      <c r="P8" s="12" t="inlineStr">
        <is>
          <t>Risque résiduel</t>
        </is>
      </c>
      <c r="Q8" s="12" t="inlineStr">
        <is>
          <t>Niveau résiduel</t>
        </is>
      </c>
      <c r="R8" s="12" t="inlineStr">
        <is>
          <t>Lien module 2, bénéfice / risque, commentaire</t>
        </is>
      </c>
    </row>
    <row r="9" ht="105" customHeight="1">
      <c r="A9" s="13" t="n">
        <v>1</v>
      </c>
      <c r="B9" s="19" t="inlineStr">
        <is>
          <t>Technique</t>
        </is>
      </c>
      <c r="C9" s="19" t="inlineStr">
        <is>
          <t>Batterie vide : le capteur ne peut plus envoyer d'alerte</t>
        </is>
      </c>
      <c r="D9" s="19" t="inlineStr">
        <is>
          <t>Recharge oubliée → batterie vide, capteur éteint la nuit → la résidente se lève et chute</t>
        </is>
      </c>
      <c r="E9" s="19" t="inlineStr">
        <is>
          <t>La résidente est au sol, personne n'est prévenu</t>
        </is>
      </c>
      <c r="F9" s="19" t="inlineStr">
        <is>
          <t>Longue attente au sol (plusieurs heures) : froid, déshydratation, escarres, hospitalisation</t>
        </is>
      </c>
      <c r="G9" s="20" t="n">
        <v>3</v>
      </c>
      <c r="H9" s="20" t="n">
        <v>3</v>
      </c>
      <c r="I9" s="13">
        <f>IF(OR(G9="",H9=""),"",G9*H9)</f>
        <v/>
      </c>
      <c r="J9" s="13">
        <f>IF(I9="","",IF(I9&gt;='Échelles'!$C$15,"Élevé : inacceptable",IF(I9&gt;='Échelles'!$C$14,"Moyen : à réduire","Faible : acceptable")))</f>
        <v/>
      </c>
      <c r="K9" s="19" t="inlineStr">
        <is>
          <t>Batterie qui tient largement : au moins 7 jours (TP M2-4), mode sommeil entre deux mesures</t>
        </is>
      </c>
      <c r="L9" s="19" t="inlineStr">
        <is>
          <t>Alerte « batterie faible » au poste de soins ; alerte si l'objet se tait (pas de signe de vie depuis 1 h)</t>
        </is>
      </c>
      <c r="M9" s="19" t="inlineStr">
        <is>
          <t>Notice : « recharger chaque semaine » ; recharge inscrite au protocole de soins (ex. à la toilette) ; formation</t>
        </is>
      </c>
      <c r="N9" s="20" t="n">
        <v>3</v>
      </c>
      <c r="O9" s="20" t="n">
        <v>1</v>
      </c>
      <c r="P9" s="13">
        <f>IF(OR(N9="",O9=""),"",N9*O9)</f>
        <v/>
      </c>
      <c r="Q9" s="13">
        <f>IF(P9="","",IF(P9&gt;='Échelles'!$C$15,"Élevé : inacceptable",IF(P9&gt;='Échelles'!$C$14,"Moyen : à réduire","Faible : acceptable")))</f>
        <v/>
      </c>
      <c r="R9" s="19" t="inlineStr">
        <is>
          <t>Lien M2 : l'autonomie de 7 jours est un OBJECTIF de conception : le TP M2-4 n'est pas dans le dépôt, le chiffre n'est donc pas encore mesuré (à mesurer au projet 1 ; si l'autonomie réelle est plus courte, la probabilité résiduelle remonte). Grave reste grave : au mieux « moyen ». Bénéfice : les chutes de nuit sont signalées en minutes, pas découvertes à la ronde.</t>
        </is>
      </c>
    </row>
    <row r="10" ht="60" customHeight="1">
      <c r="A10" s="13" t="n">
        <v>2</v>
      </c>
      <c r="B10" s="21" t="inlineStr">
        <is>
          <t>Technique</t>
        </is>
      </c>
      <c r="C10" s="21" t="inlineStr">
        <is>
          <t>Chute non détectée : l'algorithme rate une chute lente</t>
        </is>
      </c>
      <c r="D10" s="21" t="inlineStr">
        <is>
          <t>Glissade lente le long du lit ou du fauteuil → l'accélération reste sous le seuil de détection → aucune alerte n'est émise → personne ne passe avant la ronde de nuit</t>
        </is>
      </c>
      <c r="E10" s="21" t="inlineStr">
        <is>
          <t>La résidente est au sol, le système croit la situation normale</t>
        </is>
      </c>
      <c r="F10" s="21" t="inlineStr">
        <is>
          <t>Attente prolongée au sol : hypothermie, déshydratation, rhabdomyolyse, hospitalisation</t>
        </is>
      </c>
      <c r="G10" s="22" t="n">
        <v>3</v>
      </c>
      <c r="H10" s="22" t="n">
        <v>2</v>
      </c>
      <c r="I10" s="13">
        <f>IF(OR(G10="",H10=""),"",G10*H10)</f>
        <v/>
      </c>
      <c r="J10" s="13">
        <f>IF(I10="","",IF(I10&gt;='Échelles'!$C$15,"Élevé : inacceptable",IF(I10&gt;='Échelles'!$C$14,"Moyen : à réduire","Faible : acceptable")))</f>
        <v/>
      </c>
      <c r="K10" s="21" t="inlineStr">
        <is>
          <t>Règle à trois temps du TP M2-2 réglée pour privilégier le rappel, complétée par une détection d'immobilité prolongée au sol ; ajout d'une détection indépendante du bracelet : capteur de présence au sol dans la chambre (radar ou tapis), actif la nuit (fusion de sources : une chute ratée par le bracelet peut être vue par la chambre)</t>
        </is>
      </c>
      <c r="L10" s="21" t="inlineStr">
        <is>
          <t>Alerte « immobilité anormale » si aucun mouvement depuis 20 min hors plage de sommeil ; escalade automatique au poste de soins si l'alerte n'est pas prise</t>
        </is>
      </c>
      <c r="M10" s="21" t="inlineStr">
        <is>
          <t>Notice : le système ne remplace pas les rondes ; formation du personnel aux limites de la détection (chute lente, glissade)</t>
        </is>
      </c>
      <c r="N10" s="22" t="n">
        <v>3</v>
      </c>
      <c r="O10" s="22" t="n">
        <v>1</v>
      </c>
      <c r="P10" s="13">
        <f>IF(OR(N10="",O10=""),"",N10*O10)</f>
        <v/>
      </c>
      <c r="Q10" s="13">
        <f>IF(P10="","",IF(P10&gt;='Échelles'!$C$15,"Élevé : inacceptable",IF(P10&gt;='Échelles'!$C$14,"Moyen : à réduire","Faible : acceptable")))</f>
        <v/>
      </c>
      <c r="R10" s="21" t="inlineStr">
        <is>
          <t>Lien M2 : la règle à trois temps n'a été testée que sur le jeu de secours SYNTHÉTIQUE (chutes de téléphone) ; la conclusion du TP M2-2 dit elle-même qu'elle rate le profil d'une chute humaine. Le bracelet seul ne justifie donc PAS « rare » : c'est le capteur de chambre indépendant qui fait descendre la probabilité. Cotation « rare » conditionnée à une validation sur des chutes humaines au projet 1 ; sans elle, le risque reste à 3 × 2 = 6 (élevé) et le système ne peut pas remplacer les rondes. Bénéfice : une chute signalée en minutes au lieu d'être découverte à la ronde suivante.</t>
        </is>
      </c>
    </row>
    <row r="11" ht="60" customHeight="1">
      <c r="A11" s="13" t="n">
        <v>3</v>
      </c>
      <c r="B11" s="21" t="inlineStr">
        <is>
          <t>Technique</t>
        </is>
      </c>
      <c r="C11" s="21" t="inlineStr">
        <is>
          <t>Fausse alerte répétée : le système crie au loup</t>
        </is>
      </c>
      <c r="D11" s="21" t="inlineStr">
        <is>
          <t>Mouvement brusque (assis-debout, s'allonger) pris pour une chute → alertes répétées → le personnel perd confiance et acquitte sans se déplacer → une vraie alerte est acquittée comme une fausse</t>
        </is>
      </c>
      <c r="E11" s="21" t="inlineStr">
        <is>
          <t>Une alerte réelle est ignorée alors que la résidente est au sol</t>
        </is>
      </c>
      <c r="F11" s="21" t="inlineStr">
        <is>
          <t>Prise en charge retardée d'une chute réelle : attente au sol, aggravation, hospitalisation</t>
        </is>
      </c>
      <c r="G11" s="22" t="n">
        <v>3</v>
      </c>
      <c r="H11" s="22" t="n">
        <v>2</v>
      </c>
      <c r="I11" s="13">
        <f>IF(OR(G11="",H11=""),"",G11*H11)</f>
        <v/>
      </c>
      <c r="J11" s="13">
        <f>IF(I11="","",IF(I11&gt;='Échelles'!$C$15,"Élevé : inacceptable",IF(I11&gt;='Échelles'!$C$14,"Moyen : à réduire","Faible : acceptable")))</f>
        <v/>
      </c>
      <c r="K11" s="21" t="inlineStr">
        <is>
          <t>Règle à trois temps au lieu du seuil naïf « &gt; 2,5 g » (TP M2-2 : précision 0,75 → 1,00) ; confirmation par l'immobilité après l'impact avant toute émission d'alerte</t>
        </is>
      </c>
      <c r="L11" s="21" t="inlineStr">
        <is>
          <t>Alerte graduée à 5 niveaux : les niveaux bas s'affichent sans sonner ; l'acquittement demande un motif ; compteur de fausses alertes par résident suivi au tableau de bord</t>
        </is>
      </c>
      <c r="M11" s="21" t="inlineStr">
        <is>
          <t>Notice et formation : ne jamais acquitter une alerte sans avoir vu la personne ; revue mensuelle des seuils avec l'équipe soignante</t>
        </is>
      </c>
      <c r="N11" s="22" t="n">
        <v>3</v>
      </c>
      <c r="O11" s="22" t="n">
        <v>1</v>
      </c>
      <c r="P11" s="13">
        <f>IF(OR(N11="",O11=""),"",N11*O11)</f>
        <v/>
      </c>
      <c r="Q11" s="13">
        <f>IF(P11="","",IF(P11&gt;='Échelles'!$C$15,"Élevé : inacceptable",IF(P11&gt;='Échelles'!$C$14,"Moyen : à réduire","Faible : acceptable")))</f>
        <v/>
      </c>
      <c r="R11" s="21" t="inlineStr">
        <is>
          <t>Lien M2 : règle naïve &gt; 2,5 g (précision 0,75) contre règle à trois temps (1,00). Mesure à double tranchant : durcir le seuil pour réduire les fausses alertes fait remonter le risque n° 2. Bénéfice : des alertes rares et crédibles sont des alertes suivies.</t>
        </is>
      </c>
    </row>
    <row r="12" ht="60" customHeight="1">
      <c r="A12" s="13" t="n">
        <v>4</v>
      </c>
      <c r="B12" s="21" t="inlineStr">
        <is>
          <t>Utilisation</t>
        </is>
      </c>
      <c r="C12" s="21" t="inlineStr">
        <is>
          <t>Capteur mal porté, mal serré ou retiré</t>
        </is>
      </c>
      <c r="D12" s="21" t="inlineStr">
        <is>
          <t>Bracelet retiré pour la toilette ou la douche et non remis → signal PPG inexploitable ou absent → le résident est cru surveillé alors qu'il ne l'est plus</t>
        </is>
      </c>
      <c r="E12" s="21" t="inlineStr">
        <is>
          <t>Résident non surveillé sans que personne ne le sache</t>
        </is>
      </c>
      <c r="F12" s="21" t="inlineStr">
        <is>
          <t>Malaise ou chute non détecté : attente au sol, retard de soins, hospitalisation</t>
        </is>
      </c>
      <c r="G12" s="22" t="n">
        <v>3</v>
      </c>
      <c r="H12" s="22" t="n">
        <v>3</v>
      </c>
      <c r="I12" s="13">
        <f>IF(OR(G12="",H12=""),"",G12*H12)</f>
        <v/>
      </c>
      <c r="J12" s="13">
        <f>IF(I12="","",IF(I12&gt;='Échelles'!$C$15,"Élevé : inacceptable",IF(I12&gt;='Échelles'!$C$14,"Moyen : à réduire","Faible : acceptable")))</f>
        <v/>
      </c>
      <c r="K12" s="21" t="inlineStr">
        <is>
          <t>Détection de port (contact peau) et règle qualité du TP M2-1 : une mesure douteuse n'est jamais publiée comme valeur valide, elle est publiée « indisponible »</t>
        </is>
      </c>
      <c r="L12" s="21" t="inlineStr">
        <is>
          <t>Bandeau « capteur non porté » sur la fiche du résident ; alerte au poste de soins si l'état « indisponible » dure plus de 30 min</t>
        </is>
      </c>
      <c r="M12" s="21" t="inlineStr">
        <is>
          <t>Notice : remettre le bracelet après la toilette ; pictogramme sur le socle de charge ; point ajouté au protocole de soins</t>
        </is>
      </c>
      <c r="N12" s="22" t="n">
        <v>3</v>
      </c>
      <c r="O12" s="22" t="n">
        <v>1</v>
      </c>
      <c r="P12" s="13">
        <f>IF(OR(N12="",O12=""),"",N12*O12)</f>
        <v/>
      </c>
      <c r="Q12" s="13">
        <f>IF(P12="","",IF(P12&gt;='Échelles'!$C$15,"Élevé : inacceptable",IF(P12&gt;='Échelles'!$C$14,"Moyen : à réduire","Faible : acceptable")))</f>
        <v/>
      </c>
      <c r="R12" s="21" t="inlineStr">
        <is>
          <t>Lien M2 : règle qualité « mesure indisponible, jamais une fausse valeur » (TP M2-1). Grave reste grave : au mieux « moyen ». Bénéfice : l'absence de surveillance devient visible au lieu d'être silencieuse.</t>
        </is>
      </c>
    </row>
    <row r="13" ht="60" customHeight="1">
      <c r="A13" s="13" t="n">
        <v>5</v>
      </c>
      <c r="B13" s="21" t="inlineStr">
        <is>
          <t>Utilisation</t>
        </is>
      </c>
      <c r="C13" s="21" t="inlineStr">
        <is>
          <t>Bracelets échangés : les constantes sont attribuées au mauvais résident</t>
        </is>
      </c>
      <c r="D13" s="21" t="inlineStr">
        <is>
          <t>Deux bracelets échangés au retour de charge → les constantes de M. X s'affichent sous le nom de Mme Y → l'alerte part vers la mauvaise chambre</t>
        </is>
      </c>
      <c r="E13" s="21" t="inlineStr">
        <is>
          <t>Les soignants cherchent dans la mauvaise chambre pendant que l'autre résident est au sol</t>
        </is>
      </c>
      <c r="F13" s="21" t="inlineStr">
        <is>
          <t>Retard de prise en charge de plusieurs minutes ; décision de soin fondée sur les constantes d'un autre résident</t>
        </is>
      </c>
      <c r="G13" s="22" t="n">
        <v>2</v>
      </c>
      <c r="H13" s="22" t="n">
        <v>2</v>
      </c>
      <c r="I13" s="13">
        <f>IF(OR(G13="",H13=""),"",G13*H13)</f>
        <v/>
      </c>
      <c r="J13" s="13">
        <f>IF(I13="","",IF(I13&gt;='Échelles'!$C$15,"Élevé : inacceptable",IF(I13&gt;='Échelles'!$C$14,"Moyen : à réduire","Faible : acceptable")))</f>
        <v/>
      </c>
      <c r="K13" s="21" t="inlineStr">
        <is>
          <t>Un identifiant unique et un certificat par objet (addendum sécurité M2) ; association résident ↔ bracelet verrouillée côté backend, jamais sur le socle de charge</t>
        </is>
      </c>
      <c r="L13" s="21" t="inlineStr">
        <is>
          <t>Contrôle de cohérence : alerte si le profil physiologique d'un résident change brutalement ; numéro de l'objet affiché à côté du nom sur le tableau de bord</t>
        </is>
      </c>
      <c r="M13" s="21" t="inlineStr">
        <is>
          <t>Notice : vérifier l'identifiant au dos du bracelet à chaque remise ; procédure de ré-appairage écrite et affichée</t>
        </is>
      </c>
      <c r="N13" s="22" t="n">
        <v>2</v>
      </c>
      <c r="O13" s="22" t="n">
        <v>1</v>
      </c>
      <c r="P13" s="13">
        <f>IF(OR(N13="",O13=""),"",N13*O13)</f>
        <v/>
      </c>
      <c r="Q13" s="13">
        <f>IF(P13="","",IF(P13&gt;='Échelles'!$C$15,"Élevé : inacceptable",IF(P13&gt;='Échelles'!$C$14,"Moyen : à réduire","Faible : acceptable")))</f>
        <v/>
      </c>
      <c r="R13" s="21" t="inlineStr">
        <is>
          <t>Bénéfice : l'erreur d'identité devient détectable au lieu de passer inaperçue. Risque résiduel faible, accepté et noté.</t>
        </is>
      </c>
    </row>
    <row r="14" ht="60" customHeight="1">
      <c r="A14" s="13" t="n">
        <v>6</v>
      </c>
      <c r="B14" s="21" t="inlineStr">
        <is>
          <t>Cybersécurité</t>
        </is>
      </c>
      <c r="C14" s="21" t="inlineStr">
        <is>
          <t>Données de santé interceptées sur le réseau (atteinte à la vie privée)</t>
        </is>
      </c>
      <c r="D14" s="21" t="inlineStr">
        <is>
          <t>MQTT publié en clair (port 1883, sans TLS : état actuel du dépôt) et Bluetooth non appairé → un tiers présent sur le réseau de l'établissement écoute le trafic → constantes, déplacements et horaires des résidents captés</t>
        </is>
      </c>
      <c r="E14" s="21" t="inlineStr">
        <is>
          <t>Les données de santé d'un résident identifiable circulent en clair dans l'établissement</t>
        </is>
      </c>
      <c r="F14" s="21" t="inlineStr">
        <is>
          <t>Atteinte à la vie privée (donnée de santé, RGPD art. 9), repérage des absences ; pas d'atteinte physique directe ni de soins nécessaires</t>
        </is>
      </c>
      <c r="G14" s="22" t="n">
        <v>1</v>
      </c>
      <c r="H14" s="22" t="n">
        <v>2</v>
      </c>
      <c r="I14" s="13">
        <f>IF(OR(G14="",H14=""),"",G14*H14)</f>
        <v/>
      </c>
      <c r="J14" s="13">
        <f>IF(I14="","",IF(I14&gt;='Échelles'!$C$15,"Élevé : inacceptable",IF(I14&gt;='Échelles'!$C$14,"Moyen : à réduire","Faible : acceptable")))</f>
        <v/>
      </c>
      <c r="K14" s="21" t="inlineStr">
        <is>
          <t>MQTT chiffré TLS sur le port 8883, un certificat par objet, Bluetooth appairé et chiffré, comptes séparés par service (addendum sécurité M2) ; aucune donnée nominative dans les topics</t>
        </is>
      </c>
      <c r="L14" s="21" t="inlineStr">
        <is>
          <t>Rejet et journalisation des connexions non authentifiées ; alerte sur connexion inconnue au broker ; rotation des certificats</t>
        </is>
      </c>
      <c r="M14" s="21" t="inlineStr">
        <is>
          <t>Notice d'installation : ne jamais exposer le broker sur Internet ; procédure de mise en service ; sensibilisation RGPD du personnel</t>
        </is>
      </c>
      <c r="N14" s="22" t="n">
        <v>1</v>
      </c>
      <c r="O14" s="22" t="n">
        <v>1</v>
      </c>
      <c r="P14" s="13">
        <f>IF(OR(N14="",O14=""),"",N14*O14)</f>
        <v/>
      </c>
      <c r="Q14" s="13">
        <f>IF(P14="","",IF(P14&gt;='Échelles'!$C$15,"Élevé : inacceptable",IF(P14&gt;='Échelles'!$C$14,"Moyen : à réduire","Faible : acceptable")))</f>
        <v/>
      </c>
      <c r="R14" s="21" t="inlineStr">
        <is>
          <t>Gravité cotée 1 : l'échelle du cours mesure l'atteinte à la SANTÉ (« Modérée » = soins nécessaires, ce qui n'est pas le cas ici). Ce score faible ne veut pas dire que le risque est négligeable : il relève aussi du RGPD (AIPD) et de l'IEC 81001-5-1 / MDCG 2019-16, traités hors de cette matrice. MESURES À METTRE EN ŒUVRE : le dépôt est aujourd'hui en 1883 sans TLS avec allow_anonymous true (docs/contrat_mqtt.md) ; la cotation résiduelle ne vaut qu'une fois TLS 8883 et les certificats en place. Fait vérifié dans le dépôt : le pont Mosquitto relaie vitals/resident/+, motion/resident/+ et alerts/new vers broker.hivemq.com, broker PUBLIC en 1883 anonyme (mosquitto/config/mosquitto.conf). Données fictives aujourd'hui ; ce pont doit disparaître avant toute donnée réelle, et il est à décrire tel quel dans l'AIPD.</t>
        </is>
      </c>
    </row>
    <row r="15" ht="60" customHeight="1">
      <c r="A15" s="13" t="n">
        <v>7</v>
      </c>
      <c r="B15" s="21" t="inlineStr">
        <is>
          <t>Technique</t>
        </is>
      </c>
      <c r="C15" s="21" t="inlineStr">
        <is>
          <t>Surveillance interrompue : broker saturé ou réseau coupé</t>
        </is>
      </c>
      <c r="D15" s="21" t="inlineStr">
        <is>
          <t>Saturation du broker ou panne Wi-Fi → plus aucun message ne remonte → le tableau de bord continue d'afficher les dernières valeurs connues → les soignants croient la surveillance active</t>
        </is>
      </c>
      <c r="E15" s="21" t="inlineStr">
        <is>
          <t>Surveillance interrompue sans que personne ne le voie ; une chute survient pendant la coupure</t>
        </is>
      </c>
      <c r="F15" s="21" t="inlineStr">
        <is>
          <t>Chute non signalée pendant la panne : attente prolongée au sol, hospitalisation</t>
        </is>
      </c>
      <c r="G15" s="22" t="n">
        <v>3</v>
      </c>
      <c r="H15" s="22" t="n">
        <v>2</v>
      </c>
      <c r="I15" s="13">
        <f>IF(OR(G15="",H15=""),"",G15*H15)</f>
        <v/>
      </c>
      <c r="J15" s="13">
        <f>IF(I15="","",IF(I15&gt;='Échelles'!$C$15,"Élevé : inacceptable",IF(I15&gt;='Échelles'!$C$14,"Moyen : à réduire","Faible : acceptable")))</f>
        <v/>
      </c>
      <c r="K15" s="21" t="inlineStr">
        <is>
          <t>Signe de vie périodique par objet et horodatage de chaque mesure ; file locale sur la passerelle qui rejoue les messages après la coupure ; broker redondé</t>
        </is>
      </c>
      <c r="L15" s="21" t="inlineStr">
        <is>
          <t>Bandeau rouge « système dégradé » au poste de soins dès 5 min sans signe de vie, avec bascule explicite en rondes renforcées</t>
        </is>
      </c>
      <c r="M15" s="21" t="inlineStr">
        <is>
          <t>Procédure dégradée écrite (qui appeler, à quelle fréquence passer) et jouée en formation</t>
        </is>
      </c>
      <c r="N15" s="22" t="n">
        <v>3</v>
      </c>
      <c r="O15" s="22" t="n">
        <v>1</v>
      </c>
      <c r="P15" s="13">
        <f>IF(OR(N15="",O15=""),"",N15*O15)</f>
        <v/>
      </c>
      <c r="Q15" s="13">
        <f>IF(P15="","",IF(P15&gt;='Échelles'!$C$15,"Élevé : inacceptable",IF(P15&gt;='Échelles'!$C$14,"Moyen : à réduire","Faible : acceptable")))</f>
        <v/>
      </c>
      <c r="R15" s="21" t="inlineStr">
        <is>
          <t>Reclassé en « Technique » : une panne ou une saturation n'est pas une attaque (l'attaque volontaire est traitée ligne 9). Aucune donnée périmée affichée comme fraîche : c'est la règle « mesure indisponible » du M2 appliquée au transport. Gravité irréductible ; bénéfice : la panne devient visible en minutes au lieu d'être découverte après coup. À distinguer de l'AIPD : ici le dommage est l'absence de secours, pas la fuite de données.</t>
        </is>
      </c>
    </row>
    <row r="16" ht="60" customHeight="1">
      <c r="A16" s="13" t="n">
        <v>8</v>
      </c>
      <c r="B16" s="21" t="inlineStr">
        <is>
          <t>Technique</t>
        </is>
      </c>
      <c r="C16" s="21" t="inlineStr">
        <is>
          <t>Le modèle d'IA se trompe sur un profil de résident absent des données d'entraînement</t>
        </is>
      </c>
      <c r="D16" s="21" t="inlineStr">
        <is>
          <t>Résident en fauteuil ou à la démarche atypique → le modèle n'a jamais vu ce profil → score de risque faussement rassurant → ni alerte, ni surveillance renforcée</t>
        </is>
      </c>
      <c r="E16" s="21" t="inlineStr">
        <is>
          <t>Un résident à haut risque est considéré comme à risque faible</t>
        </is>
      </c>
      <c r="F16" s="21" t="inlineStr">
        <is>
          <t>Malaise ou chute ni anticipé ni détecté : retard de prise en charge, aggravation</t>
        </is>
      </c>
      <c r="G16" s="22" t="n">
        <v>3</v>
      </c>
      <c r="H16" s="22" t="n">
        <v>2</v>
      </c>
      <c r="I16" s="13">
        <f>IF(OR(G16="",H16=""),"",G16*H16)</f>
        <v/>
      </c>
      <c r="J16" s="13">
        <f>IF(I16="","",IF(I16&gt;='Échelles'!$C$15,"Élevé : inacceptable",IF(I16&gt;='Échelles'!$C$14,"Moyen : à réduire","Faible : acceptable")))</f>
        <v/>
      </c>
      <c r="K16" s="21" t="inlineStr">
        <is>
          <t>Modèle hybride : la détection par règles (seuils physiologiques, règle à trois temps) reste active indépendamment du score IA, qui n'est jamais seul décisionnaire ; jeu d'entraînement couvrant les profils atypiques</t>
        </is>
      </c>
      <c r="L16" s="21" t="inlineStr">
        <is>
          <t>Score affiché avec son niveau de confiance ; alerte « profil hors domaine » qui bascule explicitement sur les règles ; revue mensuelle des faux négatifs</t>
        </is>
      </c>
      <c r="M16" s="21" t="inlineStr">
        <is>
          <t>Notice : le score de risque est une aide, pas un diagnostic ; formation du personnel à ses limites</t>
        </is>
      </c>
      <c r="N16" s="22" t="n">
        <v>3</v>
      </c>
      <c r="O16" s="22" t="n">
        <v>1</v>
      </c>
      <c r="P16" s="13">
        <f>IF(OR(N16="",O16=""),"",N16*O16)</f>
        <v/>
      </c>
      <c r="Q16" s="13">
        <f>IF(P16="","",IF(P16&gt;='Échelles'!$C$15,"Élevé : inacceptable",IF(P16&gt;='Échelles'!$C$14,"Moyen : à réduire","Faible : acceptable")))</f>
        <v/>
      </c>
      <c r="R16" s="21" t="inlineStr">
        <is>
          <t>Si le projet est classé IIa ou plus (voir TP M3-1), une détection de chute par IA est une IA « à haut risque » au sens de l'AI Act, avec des obligations au 2 août 2028. Gravité irréductible ; bénéfice : le score priorise les rondes sans jamais désactiver les règles.</t>
        </is>
      </c>
    </row>
    <row r="17" ht="60" customHeight="1">
      <c r="A17" s="13" t="n">
        <v>9</v>
      </c>
      <c r="B17" s="21" t="inlineStr">
        <is>
          <t>Cybersécurité</t>
        </is>
      </c>
      <c r="C17" s="21" t="inlineStr">
        <is>
          <t>Fausses données injectées : un client non autorisé publie sur le broker</t>
        </is>
      </c>
      <c r="D17" s="21" t="inlineStr">
        <is>
          <t>Broker accessible sans authentification (allow_anonymous true, port 1883 : état actuel du dépôt) → un client non autorisé publie de fausses constantes « normales », ou brouille / sature le canal, sur les topics d'un résident → la vraie chute est masquée ou noyée</t>
        </is>
      </c>
      <c r="E17" s="21" t="inlineStr">
        <is>
          <t>La résidente est au sol, le tableau de bord affiche des constantes normales</t>
        </is>
      </c>
      <c r="F17" s="21" t="inlineStr">
        <is>
          <t>Chute ou malaise non pris en charge : attente prolongée au sol, aggravation, hospitalisation</t>
        </is>
      </c>
      <c r="G17" s="22" t="n">
        <v>3</v>
      </c>
      <c r="H17" s="22" t="n">
        <v>2</v>
      </c>
      <c r="I17" s="13">
        <f>IF(OR(G17="",H17=""),"",G17*H17)</f>
        <v/>
      </c>
      <c r="J17" s="13">
        <f>IF(I17="","",IF(I17&gt;='Échelles'!$C$15,"Élevé : inacceptable",IF(I17&gt;='Échelles'!$C$14,"Moyen : à réduire","Faible : acceptable")))</f>
        <v/>
      </c>
      <c r="K17" s="21" t="inlineStr">
        <is>
          <t>Authentification mutuelle TLS sur le port 8883 avec un certificat par objet (addendum sécurité M2) ; allow_anonymous false ; ACL par topic : chaque objet ne publie que sur son propre topic, seul le backend publie les alertes ; numéro de séquence et horodatage dans chaque message (anti-rejeu)</t>
        </is>
      </c>
      <c r="L17" s="21" t="inlineStr">
        <is>
          <t>Alerte sécurité au poste de soins sur connexion refusée, saut de séquence ou deux sources pour un même capteur ; journalisation des connexions ; bascule en « système dégradé » (comme ligne 7) si l'intégrité est douteuse</t>
        </is>
      </c>
      <c r="M17" s="21" t="inlineStr">
        <is>
          <t>Procédure de gestion des certificats (émission, révocation d'un bracelet perdu) ; plan de réponse à incident ; formation du personnel : signaler toute alerte ou valeur incohérente</t>
        </is>
      </c>
      <c r="N17" s="22" t="n">
        <v>3</v>
      </c>
      <c r="O17" s="22" t="n">
        <v>1</v>
      </c>
      <c r="P17" s="13">
        <f>IF(OR(N17="",O17=""),"",N17*O17)</f>
        <v/>
      </c>
      <c r="Q17" s="13">
        <f>IF(P17="","",IF(P17&gt;='Échelles'!$C$15,"Élevé : inacceptable",IF(P17&gt;='Échelles'!$C$14,"Moyen : à réduire","Faible : acceptable")))</f>
        <v/>
      </c>
      <c r="R17" s="21" t="inlineStr">
        <is>
          <t>Lien M2 : addendum sécurité (TLS 8883, certificat par objet, comptes séparés). Cadre : IEC 81001-5-1, MDCG 2019-16. C'est le vrai danger cyber pour le PATIENT : une attaque qui masque une chute est un risque de santé, pas seulement de données. MESURES À METTRE EN ŒUVRE : tant que le broker reste anonyme en 1883, le risque reste à 3 × 2 = 6 (élevé). Gravité irréductible ; bénéfice : seules les données authentifiées peuvent déclencher ou masquer une alerte.</t>
        </is>
      </c>
    </row>
    <row r="18" ht="60" customHeight="1">
      <c r="A18" s="13" t="n">
        <v>10</v>
      </c>
      <c r="B18" s="21" t="inlineStr">
        <is>
          <t>Technique</t>
        </is>
      </c>
      <c r="C18" s="21" t="inlineStr">
        <is>
          <t>Exemple de matériovigilance (hors projet) : canule du pod Omnipod qui peut se déchirer (rappel de lots ANSM, 3 juin 2026)</t>
        </is>
      </c>
      <c r="D18" s="21" t="inlineStr">
        <is>
          <t>Canule déchirée sous la peau → moins d'insuline délivrée que la dose programmée → le patient ne s'en rend pas compte</t>
        </is>
      </c>
      <c r="E18" s="21" t="inlineStr">
        <is>
          <t>Patient diabétique sous-dosé en insuline sans le savoir</t>
        </is>
      </c>
      <c r="F18" s="21" t="inlineStr">
        <is>
          <t>Hyperglycémie, pouvant aller jusqu'à l'acidocétose et l'hospitalisation</t>
        </is>
      </c>
      <c r="G18" s="22" t="n">
        <v>3</v>
      </c>
      <c r="H18" s="22" t="n">
        <v>2</v>
      </c>
      <c r="I18" s="13">
        <f>IF(OR(G18="",H18=""),"",G18*H18)</f>
        <v/>
      </c>
      <c r="J18" s="13">
        <f>IF(I18="","",IF(I18&gt;='Échelles'!$C$15,"Élevé : inacceptable",IF(I18&gt;='Échelles'!$C$14,"Moyen : à réduire","Faible : acceptable")))</f>
        <v/>
      </c>
      <c r="K18" s="21" t="inlineStr">
        <is>
          <t>Correction du procédé de fabrication de la canule ; contrôle renforcé des lots</t>
        </is>
      </c>
      <c r="L18" s="21" t="inlineStr">
        <is>
          <t>Rappel des lots concernés ; alerte d'occlusion ou de délivrance anormale ; surveillance glycémique (capteur de glucose) qui signale la dérive</t>
        </is>
      </c>
      <c r="M18" s="21" t="inlineStr">
        <is>
          <t>Information de sécurité aux patients et aux soignants ; consigne : surveiller la glycémie et changer le pod en cas de valeurs hautes inexpliquées</t>
        </is>
      </c>
      <c r="N18" s="22" t="n">
        <v>3</v>
      </c>
      <c r="O18" s="22" t="n">
        <v>1</v>
      </c>
      <c r="P18" s="13">
        <f>IF(OR(N18="",O18=""),"",N18*O18)</f>
        <v/>
      </c>
      <c r="Q18" s="13">
        <f>IF(P18="","",IF(P18&gt;='Échelles'!$C$15,"Élevé : inacceptable",IF(P18&gt;='Échelles'!$C$14,"Moyen : à réduire","Faible : acceptable")))</f>
        <v/>
      </c>
      <c r="R18" s="21" t="inlineStr">
        <is>
          <t>Exemple « pour aller plus loin », hors périmètre de notre projet : à retirer à l'analyse de risques v1 (projet 1). Il montre que l'analyse de risques continue après la vente : un incident remonté (matériovigilance) rouvre le dossier.</t>
        </is>
      </c>
    </row>
    <row r="19">
      <c r="A19" s="11" t="inlineStr">
        <is>
          <t>Ligne 1 = exemple rempli (police bleue en italique) : gardez-le s'il vaut pour votre projet, ou remplacez-le.</t>
        </is>
      </c>
    </row>
  </sheetData>
  <mergeCells count="11">
    <mergeCell ref="A4:B4"/>
    <mergeCell ref="A2:B2"/>
    <mergeCell ref="C3:F3"/>
    <mergeCell ref="C4:F4"/>
    <mergeCell ref="R7"/>
    <mergeCell ref="N7:Q7"/>
    <mergeCell ref="G7:J7"/>
    <mergeCell ref="C2:F2"/>
    <mergeCell ref="A3:B3"/>
    <mergeCell ref="K7:M7"/>
    <mergeCell ref="A7:F7"/>
  </mergeCells>
  <conditionalFormatting sqref="I9:J18">
    <cfRule type="expression" priority="1" dxfId="0">
      <formula>LEFT($J9,5)="Élevé"</formula>
    </cfRule>
    <cfRule type="expression" priority="2" dxfId="1">
      <formula>LEFT($J9,5)="Moyen"</formula>
    </cfRule>
    <cfRule type="expression" priority="3" dxfId="2">
      <formula>LEFT($J9,6)="Faible"</formula>
    </cfRule>
  </conditionalFormatting>
  <conditionalFormatting sqref="P9:Q18">
    <cfRule type="expression" priority="4" dxfId="0">
      <formula>LEFT($Q9,5)="Élevé"</formula>
    </cfRule>
    <cfRule type="expression" priority="5" dxfId="1">
      <formula>LEFT($Q9,5)="Moyen"</formula>
    </cfRule>
    <cfRule type="expression" priority="6" dxfId="2">
      <formula>LEFT($Q9,6)="Faible"</formula>
    </cfRule>
  </conditionalFormatting>
  <dataValidations count="3">
    <dataValidation sqref="C3" showDropDown="0" showInputMessage="0" showErrorMessage="0" allowBlank="1" type="list">
      <formula1>"A (chute),B (insuffisance cardiaque),C (BPCO),D (AVC),E (escarres),F (pilulier)"</formula1>
    </dataValidation>
    <dataValidation sqref="B9 B10 B11 B12 B13 B14 B15 B16 B17 B18" showDropDown="0" showInputMessage="0" showErrorMessage="0" allowBlank="1" errorTitle="Valeur non prévue" error="Choisissez une valeur de la liste." promptTitle="Choix" prompt="Technique, Utilisation ou Cybersécurité" type="list">
      <formula1>"Technique,Utilisation,Cybersécurité"</formula1>
    </dataValidation>
    <dataValidation sqref="G9 G10 G11 G12 G13 G14 G15 G16 G17 G18 H9 H10 H11 H12 H13 H14 H15 H16 H17 H18 N9 N10 N11 N12 N13 N14 N15 N16 N17 N18 O9 O10 O11 O12 O13 O14 O15 O16 O17 O18" showDropDown="0" showInputMessage="0" showErrorMessage="0" allowBlank="1" errorTitle="Valeur non prévue" error="Choisissez une valeur de la liste." promptTitle="Choix" prompt="1, 2 ou 3 (voir l'onglet Échelles)"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6" t="inlineStr">
        <is>
          <t>Synthèse : où sont vos risques ? (calculée automatiquement)</t>
        </is>
      </c>
    </row>
    <row r="3">
      <c r="A3" s="9" t="inlineStr">
        <is>
          <t>AVANT les mesures</t>
        </is>
      </c>
      <c r="E3" s="9" t="inlineStr">
        <is>
          <t>APRÈS les mesures (risque résiduel)</t>
        </is>
      </c>
    </row>
    <row r="4">
      <c r="A4" s="9" t="inlineStr">
        <is>
          <t>Gravité ↓ / Probabilité →</t>
        </is>
      </c>
      <c r="B4" s="12" t="inlineStr">
        <is>
          <t>1 Rare</t>
        </is>
      </c>
      <c r="C4" s="12" t="inlineStr">
        <is>
          <t>2 Possible</t>
        </is>
      </c>
      <c r="D4" s="12" t="inlineStr">
        <is>
          <t>3 Fréquente</t>
        </is>
      </c>
      <c r="E4" s="9" t="inlineStr">
        <is>
          <t>Gravité ↓ / Probabilité →</t>
        </is>
      </c>
      <c r="F4" s="12" t="inlineStr">
        <is>
          <t>1 Rare</t>
        </is>
      </c>
      <c r="G4" s="12" t="inlineStr">
        <is>
          <t>2 Possible</t>
        </is>
      </c>
      <c r="H4" s="12" t="inlineStr">
        <is>
          <t>3 Fréquente</t>
        </is>
      </c>
    </row>
    <row r="5" ht="28" customHeight="1">
      <c r="A5" s="7" t="inlineStr">
        <is>
          <t>3 Grave</t>
        </is>
      </c>
      <c r="B5" s="23">
        <f>COUNTIFS('Analyse de risques'!$G$9:$G$18,3,'Analyse de risques'!$H$9:$H$18,1)</f>
        <v/>
      </c>
      <c r="C5" s="24">
        <f>COUNTIFS('Analyse de risques'!$G$9:$G$18,3,'Analyse de risques'!$H$9:$H$18,2)</f>
        <v/>
      </c>
      <c r="D5" s="24">
        <f>COUNTIFS('Analyse de risques'!$G$9:$G$18,3,'Analyse de risques'!$H$9:$H$18,3)</f>
        <v/>
      </c>
      <c r="E5" s="7" t="inlineStr">
        <is>
          <t>3 Grave</t>
        </is>
      </c>
      <c r="F5" s="23">
        <f>COUNTIFS('Analyse de risques'!$N$9:$N$18,3,'Analyse de risques'!$O$9:$O$18,1)</f>
        <v/>
      </c>
      <c r="G5" s="24">
        <f>COUNTIFS('Analyse de risques'!$N$9:$N$18,3,'Analyse de risques'!$O$9:$O$18,2)</f>
        <v/>
      </c>
      <c r="H5" s="24">
        <f>COUNTIFS('Analyse de risques'!$N$9:$N$18,3,'Analyse de risques'!$O$9:$O$18,3)</f>
        <v/>
      </c>
    </row>
    <row r="6" ht="28" customHeight="1">
      <c r="A6" s="7" t="inlineStr">
        <is>
          <t>2 Modérée</t>
        </is>
      </c>
      <c r="B6" s="25">
        <f>COUNTIFS('Analyse de risques'!$G$9:$G$18,2,'Analyse de risques'!$H$9:$H$18,1)</f>
        <v/>
      </c>
      <c r="C6" s="23">
        <f>COUNTIFS('Analyse de risques'!$G$9:$G$18,2,'Analyse de risques'!$H$9:$H$18,2)</f>
        <v/>
      </c>
      <c r="D6" s="24">
        <f>COUNTIFS('Analyse de risques'!$G$9:$G$18,2,'Analyse de risques'!$H$9:$H$18,3)</f>
        <v/>
      </c>
      <c r="E6" s="7" t="inlineStr">
        <is>
          <t>2 Modérée</t>
        </is>
      </c>
      <c r="F6" s="25">
        <f>COUNTIFS('Analyse de risques'!$N$9:$N$18,2,'Analyse de risques'!$O$9:$O$18,1)</f>
        <v/>
      </c>
      <c r="G6" s="23">
        <f>COUNTIFS('Analyse de risques'!$N$9:$N$18,2,'Analyse de risques'!$O$9:$O$18,2)</f>
        <v/>
      </c>
      <c r="H6" s="24">
        <f>COUNTIFS('Analyse de risques'!$N$9:$N$18,2,'Analyse de risques'!$O$9:$O$18,3)</f>
        <v/>
      </c>
    </row>
    <row r="7" ht="28" customHeight="1">
      <c r="A7" s="7" t="inlineStr">
        <is>
          <t>1 Légère</t>
        </is>
      </c>
      <c r="B7" s="25">
        <f>COUNTIFS('Analyse de risques'!$G$9:$G$18,1,'Analyse de risques'!$H$9:$H$18,1)</f>
        <v/>
      </c>
      <c r="C7" s="25">
        <f>COUNTIFS('Analyse de risques'!$G$9:$G$18,1,'Analyse de risques'!$H$9:$H$18,2)</f>
        <v/>
      </c>
      <c r="D7" s="23">
        <f>COUNTIFS('Analyse de risques'!$G$9:$G$18,1,'Analyse de risques'!$H$9:$H$18,3)</f>
        <v/>
      </c>
      <c r="E7" s="7" t="inlineStr">
        <is>
          <t>1 Légère</t>
        </is>
      </c>
      <c r="F7" s="25">
        <f>COUNTIFS('Analyse de risques'!$N$9:$N$18,1,'Analyse de risques'!$O$9:$O$18,1)</f>
        <v/>
      </c>
      <c r="G7" s="25">
        <f>COUNTIFS('Analyse de risques'!$N$9:$N$18,1,'Analyse de risques'!$O$9:$O$18,2)</f>
        <v/>
      </c>
      <c r="H7" s="23">
        <f>COUNTIFS('Analyse de risques'!$N$9:$N$18,1,'Analyse de risques'!$O$9:$O$18,3)</f>
        <v/>
      </c>
    </row>
    <row r="8">
      <c r="A8" s="26" t="inlineStr">
        <is>
          <t>(nombre de risques dans chaque case)</t>
        </is>
      </c>
      <c r="E8" s="26" t="inlineStr">
        <is>
          <t>(nombre de risques dans chaque case)</t>
        </is>
      </c>
    </row>
    <row r="11">
      <c r="A11" s="9" t="inlineStr">
        <is>
          <t>Contrôles</t>
        </is>
      </c>
    </row>
    <row r="12">
      <c r="A12" s="10" t="inlineStr">
        <is>
          <t>Dangers listés</t>
        </is>
      </c>
      <c r="B12" s="13">
        <f>COUNTA('Analyse de risques'!$C$9:$C$18)</f>
        <v/>
      </c>
      <c r="C12" s="10">
        <f>IF(B12&gt;=5,"OK : au moins 5 dangers","Visez au moins 5 dangers")</f>
        <v/>
      </c>
      <c r="D12" s="27" t="n"/>
      <c r="E12" s="27" t="n"/>
      <c r="F12" s="27" t="n"/>
      <c r="G12" s="27" t="n"/>
      <c r="H12" s="28" t="n"/>
    </row>
    <row r="13">
      <c r="A13" s="10" t="inlineStr">
        <is>
          <t>dont techniques</t>
        </is>
      </c>
      <c r="B13" s="13">
        <f>COUNTIF('Analyse de risques'!$B$9:$B$18,"Technique")</f>
        <v/>
      </c>
      <c r="C13" s="10">
        <f>IF(B13&gt;=1,"OK","Ajoutez un danger technique")</f>
        <v/>
      </c>
      <c r="D13" s="27" t="n"/>
      <c r="E13" s="27" t="n"/>
      <c r="F13" s="27" t="n"/>
      <c r="G13" s="27" t="n"/>
      <c r="H13" s="28" t="n"/>
    </row>
    <row r="14">
      <c r="A14" s="10" t="inlineStr">
        <is>
          <t>dont d'utilisation</t>
        </is>
      </c>
      <c r="B14" s="13">
        <f>COUNTIF('Analyse de risques'!$B$9:$B$18,"Utilisation")</f>
        <v/>
      </c>
      <c r="C14" s="10">
        <f>IF(B14&gt;=1,"OK","Ajoutez un danger d'utilisation")</f>
        <v/>
      </c>
      <c r="D14" s="27" t="n"/>
      <c r="E14" s="27" t="n"/>
      <c r="F14" s="27" t="n"/>
      <c r="G14" s="27" t="n"/>
      <c r="H14" s="28" t="n"/>
    </row>
    <row r="15">
      <c r="A15" s="10" t="inlineStr">
        <is>
          <t>dont de cybersécurité</t>
        </is>
      </c>
      <c r="B15" s="13">
        <f>COUNTIF('Analyse de risques'!$B$9:$B$18,"Cybersécurité")</f>
        <v/>
      </c>
      <c r="C15" s="10">
        <f>IF(B15&gt;=1,"OK","Ajoutez un danger de cybersécurité")</f>
        <v/>
      </c>
      <c r="D15" s="27" t="n"/>
      <c r="E15" s="27" t="n"/>
      <c r="F15" s="27" t="n"/>
      <c r="G15" s="27" t="n"/>
      <c r="H15" s="28" t="n"/>
    </row>
    <row r="16">
      <c r="A16" s="10" t="inlineStr">
        <is>
          <t>Risques « élevés » après mesures</t>
        </is>
      </c>
      <c r="B16" s="13">
        <f>COUNTIF('Analyse de risques'!$Q$9:$Q$18,"Élevé*")</f>
        <v/>
      </c>
      <c r="C16" s="10">
        <f>IF(B16=0,"OK : aucun risque inacceptable restant","Il reste un risque inacceptable : ajoutez une mesure")</f>
        <v/>
      </c>
      <c r="D16" s="27" t="n"/>
      <c r="E16" s="27" t="n"/>
      <c r="F16" s="27" t="n"/>
      <c r="G16" s="27" t="n"/>
      <c r="H16" s="28" t="n"/>
    </row>
  </sheetData>
  <mergeCells count="5">
    <mergeCell ref="C16:H16"/>
    <mergeCell ref="C14:H14"/>
    <mergeCell ref="C13:H13"/>
    <mergeCell ref="C12:H12"/>
    <mergeCell ref="C15:H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2026-10-14T06:51:41Z</dcterms:created>
  <dcterms:modified xsi:type="dcterms:W3CDTF">2026-10-16T13:06:12Z</dcterms:modified>
</cp:coreProperties>
</file>